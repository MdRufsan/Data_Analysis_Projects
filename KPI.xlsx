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n10\OneDrive\Desktop\Retail Data Analysis\"/>
    </mc:Choice>
  </mc:AlternateContent>
  <bookViews>
    <workbookView xWindow="-120" yWindow="-120" windowWidth="29040" windowHeight="15720" activeTab="1"/>
  </bookViews>
  <sheets>
    <sheet name="KPI_Analysis" sheetId="2" r:id="rId1"/>
    <sheet name="Dashboard" sheetId="1" r:id="rId2"/>
  </sheets>
  <definedNames>
    <definedName name="Slicer_Beverage_Brand1">#N/A</definedName>
    <definedName name="Slicer_Region__State">#N/A</definedName>
    <definedName name="Slicer_Retailer">#N/A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6" i="2" l="1"/>
  <c r="F7" i="2"/>
  <c r="D13" i="2"/>
  <c r="F4" i="2"/>
</calcChain>
</file>

<file path=xl/connections.xml><?xml version="1.0" encoding="utf-8"?>
<connections xmlns="http://schemas.openxmlformats.org/spreadsheetml/2006/main">
  <connection id="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keepAlive="1" name="Query - Retailers" description="Connection to the 'Retailers' query in the workbook." type="5" refreshedVersion="8" background="1">
    <dbPr connection="Provider=Microsoft.Mashup.OleDb.1;Data Source=$Workbook$;Location=Retailers;Extended Properties=&quot;&quot;" command="SELECT * FROM [Retailers]"/>
  </connection>
  <connection id="3"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<sst xmlns="http://schemas.openxmlformats.org/spreadsheetml/2006/main" count="154" uniqueCount="48">
  <si>
    <t>Row Labels</t>
  </si>
  <si>
    <t>Grand Total</t>
  </si>
  <si>
    <t>Sum of Price per Unit</t>
  </si>
  <si>
    <t>Costco</t>
  </si>
  <si>
    <t>Target</t>
  </si>
  <si>
    <t>Walgreens</t>
  </si>
  <si>
    <t>Walmart</t>
  </si>
  <si>
    <t>Sum of Units Sold</t>
  </si>
  <si>
    <t>Sum of Revenue</t>
  </si>
  <si>
    <t>Total Revenue by Retailer</t>
  </si>
  <si>
    <t>Coca-Cola</t>
  </si>
  <si>
    <t>Dasani Water</t>
  </si>
  <si>
    <t>Diet Coke</t>
  </si>
  <si>
    <t>Fanta</t>
  </si>
  <si>
    <t>Powerade</t>
  </si>
  <si>
    <t>Sprite</t>
  </si>
  <si>
    <t>Average Price per Unit by Brand</t>
  </si>
  <si>
    <t>Average of Price per Unit</t>
  </si>
  <si>
    <t>Column Labels</t>
  </si>
  <si>
    <t>Northeast--New York</t>
  </si>
  <si>
    <t>South--Texas</t>
  </si>
  <si>
    <t>West--California</t>
  </si>
  <si>
    <t>4. Retailer_Walmart .xlsx</t>
  </si>
  <si>
    <t>2. Retailer_Target.xlsx</t>
  </si>
  <si>
    <t>1. Retailer_Costco.xlsx</t>
  </si>
  <si>
    <t>3. Retailer_Walgreens.xlsx</t>
  </si>
  <si>
    <t>Count of Retailer ID</t>
  </si>
  <si>
    <t>Count of Contact</t>
  </si>
  <si>
    <t>1. Sales Performance &amp; Volume</t>
  </si>
  <si>
    <t>2. Temporal (Time-Based) Trends</t>
  </si>
  <si>
    <t>3.Geographic &amp; Regional Insights</t>
  </si>
  <si>
    <t>4. Operational &amp; Data Integrity</t>
  </si>
  <si>
    <t>Min of Price per Unit</t>
  </si>
  <si>
    <t>Max of Price per Unit</t>
  </si>
  <si>
    <t>7. Advanced Business Insights</t>
  </si>
  <si>
    <r>
      <t xml:space="preserve">                                 </t>
    </r>
    <r>
      <rPr>
        <sz val="11"/>
        <color rgb="FF00B050"/>
        <rFont val="Calibri"/>
        <family val="2"/>
        <scheme val="minor"/>
      </rPr>
      <t xml:space="preserve"> Monthly Sales Growth</t>
    </r>
  </si>
  <si>
    <r>
      <t xml:space="preserve">        </t>
    </r>
    <r>
      <rPr>
        <sz val="11"/>
        <color rgb="FF00B050"/>
        <rFont val="Calibri"/>
        <family val="2"/>
        <scheme val="minor"/>
      </rPr>
      <t>Contact/Account Coverage</t>
    </r>
  </si>
  <si>
    <r>
      <t xml:space="preserve">        </t>
    </r>
    <r>
      <rPr>
        <sz val="11"/>
        <color rgb="FF00B050"/>
        <rFont val="Calibri"/>
        <family val="2"/>
        <scheme val="minor"/>
      </rPr>
      <t xml:space="preserve"> Price Variation by Brand</t>
    </r>
  </si>
  <si>
    <r>
      <t xml:space="preserve">                                 </t>
    </r>
    <r>
      <rPr>
        <sz val="11"/>
        <color rgb="FF00B050"/>
        <rFont val="Calibri"/>
        <family val="2"/>
        <scheme val="minor"/>
      </rPr>
      <t xml:space="preserve">    Retailer × Beverage Brand Matrix</t>
    </r>
  </si>
  <si>
    <t xml:space="preserve">         Revenue Concentration</t>
  </si>
  <si>
    <r>
      <t xml:space="preserve">               </t>
    </r>
    <r>
      <rPr>
        <sz val="11"/>
        <color rgb="FF00B050"/>
        <rFont val="Calibri"/>
        <family val="2"/>
        <scheme val="minor"/>
      </rPr>
      <t xml:space="preserve">   Data Source Audit</t>
    </r>
  </si>
  <si>
    <r>
      <t xml:space="preserve">                                  </t>
    </r>
    <r>
      <rPr>
        <sz val="11"/>
        <color rgb="FF00B050"/>
        <rFont val="Calibri"/>
        <family val="2"/>
        <scheme val="minor"/>
      </rPr>
      <t xml:space="preserve">                       Brand Popularity by State</t>
    </r>
  </si>
  <si>
    <r>
      <t xml:space="preserve">                                                  </t>
    </r>
    <r>
      <rPr>
        <sz val="11"/>
        <color rgb="FF00B050"/>
        <rFont val="Calibri"/>
        <family val="2"/>
        <scheme val="minor"/>
      </rPr>
      <t>Regional Market Share</t>
    </r>
  </si>
  <si>
    <r>
      <t xml:space="preserve">       </t>
    </r>
    <r>
      <rPr>
        <b/>
        <sz val="14"/>
        <color rgb="FF0070C0"/>
        <rFont val="Calibri"/>
        <family val="2"/>
        <scheme val="minor"/>
      </rPr>
      <t xml:space="preserve">     6.Retailer Comparison</t>
    </r>
  </si>
  <si>
    <t>Total Unit Sold</t>
  </si>
  <si>
    <t>Top Retailer By Revenue</t>
  </si>
  <si>
    <t xml:space="preserve">Top Beverage Brand by Units </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</si>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</sst>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0.0"/>
  </numFmts>
  <fonts count="4" x14ac:knownFonts="1">
    <font>
      <sz val="11"/>
      <color theme="1"/>
      <name val="Calibri"/>
      <family val="2"/>
      <scheme val="minor"/>
    </font>
    <font>
      <sz val="11"/>
      <color rgb="FF00B050"/>
      <name val="Calibri"/>
      <family val="2"/>
      <scheme val="minor"/>
    </font>
    <font>
      <b/>
      <sz val="14"/>
      <color rgb="FF0070C0"/>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xf numFmtId="14" fontId="0" fillId="0" borderId="0" xfId="0" applyNumberFormat="1" applyAlignment="1">
      <alignment horizontal="left"/>
    </xf>
    <xf numFmtId="0" fontId="2" fillId="0" borderId="0" xfId="0" applyFont="1"/>
    <xf numFmtId="44" fontId="0" fillId="0" borderId="0" xfId="1" applyFont="1"/>
    <xf numFmtId="0" fontId="0" fillId="2" borderId="0" xfId="0" applyFill="1"/>
    <xf numFmtId="164" fontId="0" fillId="0" borderId="0" xfId="0" applyNumberFormat="1"/>
    <xf numFmtId="44" fontId="0" fillId="3" borderId="0" xfId="1" applyFont="1" applyFill="1"/>
    <xf numFmtId="0" fontId="0" fillId="0" borderId="0" xfId="0"/>
    <xf numFmtId="0" fontId="1" fillId="0" borderId="0" xfId="0" applyFont="1"/>
    <xf numFmtId="0" fontId="0" fillId="0" borderId="0" xfId="0"/>
    <xf numFmtId="0" fontId="1" fillId="0" borderId="0" xfId="0" applyFont="1" applyAlignment="1">
      <alignment horizontal="center"/>
    </xf>
    <xf numFmtId="0" fontId="0" fillId="0" borderId="0" xfId="0" applyAlignment="1">
      <alignment horizontal="center"/>
    </xf>
  </cellXfs>
  <cellStyles count="2">
    <cellStyle name="Currency" xfId="1" builtinId="4"/>
    <cellStyle name="Normal" xfId="0" builtinId="0"/>
  </cellStyles>
  <dxfs count="0"/>
  <tableStyles count="0" defaultTableStyle="TableStyleMedium2" defaultPivotStyle="PivotStyleLight16"/>
  <colors>
    <mruColors>
      <color rgb="FF3399FF"/>
      <color rgb="FF3C65B6"/>
      <color rgb="FFB4C5E6"/>
      <color rgb="FFE2E9F6"/>
      <color rgb="FF0000FF"/>
      <color rgb="FFEDF1F9"/>
      <color rgb="FF9DB3DF"/>
      <color rgb="FFC0A8EA"/>
      <color rgb="FFB1C2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KPI_Analysis!$B$4</c:f>
              <c:strCache>
                <c:ptCount val="1"/>
                <c:pt idx="0">
                  <c:v>Sum of Price per Unit</c:v>
                </c:pt>
              </c:strCache>
            </c:strRef>
          </c:tx>
          <c:spPr>
            <a:solidFill>
              <a:schemeClr val="accent1"/>
            </a:solidFill>
            <a:ln>
              <a:noFill/>
            </a:ln>
            <a:effectLst/>
          </c:spPr>
          <c:invertIfNegative val="0"/>
          <c:cat>
            <c:strRef>
              <c:f>KPI_Analysis!$A$5:$A$9</c:f>
              <c:strCache>
                <c:ptCount val="4"/>
                <c:pt idx="0">
                  <c:v>Costco</c:v>
                </c:pt>
                <c:pt idx="1">
                  <c:v>Target</c:v>
                </c:pt>
                <c:pt idx="2">
                  <c:v>Walgreens</c:v>
                </c:pt>
                <c:pt idx="3">
                  <c:v>Walmart</c:v>
                </c:pt>
              </c:strCache>
            </c:strRef>
          </c:cat>
          <c:val>
            <c:numRef>
              <c:f>KPI_Analysis!$B$5:$B$9</c:f>
              <c:numCache>
                <c:formatCode>General</c:formatCode>
                <c:ptCount val="4"/>
                <c:pt idx="0">
                  <c:v>43.849999999999987</c:v>
                </c:pt>
                <c:pt idx="1">
                  <c:v>30.399999999999991</c:v>
                </c:pt>
                <c:pt idx="2">
                  <c:v>36.649999999999991</c:v>
                </c:pt>
                <c:pt idx="3">
                  <c:v>39.749999999999986</c:v>
                </c:pt>
              </c:numCache>
            </c:numRef>
          </c:val>
          <c:extLst>
            <c:ext xmlns:c16="http://schemas.microsoft.com/office/drawing/2014/chart" uri="{C3380CC4-5D6E-409C-BE32-E72D297353CC}">
              <c16:uniqueId val="{00000000-996C-407C-B528-8D21C60204D2}"/>
            </c:ext>
          </c:extLst>
        </c:ser>
        <c:ser>
          <c:idx val="1"/>
          <c:order val="1"/>
          <c:tx>
            <c:strRef>
              <c:f>KPI_Analysis!$C$4</c:f>
              <c:strCache>
                <c:ptCount val="1"/>
                <c:pt idx="0">
                  <c:v>Sum of Units Sold</c:v>
                </c:pt>
              </c:strCache>
            </c:strRef>
          </c:tx>
          <c:spPr>
            <a:solidFill>
              <a:schemeClr val="accent2"/>
            </a:solidFill>
            <a:ln>
              <a:noFill/>
            </a:ln>
            <a:effectLst/>
          </c:spPr>
          <c:invertIfNegative val="0"/>
          <c:cat>
            <c:strRef>
              <c:f>KPI_Analysis!$A$5:$A$9</c:f>
              <c:strCache>
                <c:ptCount val="4"/>
                <c:pt idx="0">
                  <c:v>Costco</c:v>
                </c:pt>
                <c:pt idx="1">
                  <c:v>Target</c:v>
                </c:pt>
                <c:pt idx="2">
                  <c:v>Walgreens</c:v>
                </c:pt>
                <c:pt idx="3">
                  <c:v>Walmart</c:v>
                </c:pt>
              </c:strCache>
            </c:strRef>
          </c:cat>
          <c:val>
            <c:numRef>
              <c:f>KPI_Analysis!$C$5:$C$9</c:f>
              <c:numCache>
                <c:formatCode>General</c:formatCode>
                <c:ptCount val="4"/>
                <c:pt idx="0">
                  <c:v>544750</c:v>
                </c:pt>
                <c:pt idx="1">
                  <c:v>566000</c:v>
                </c:pt>
                <c:pt idx="2">
                  <c:v>492500</c:v>
                </c:pt>
                <c:pt idx="3">
                  <c:v>706600</c:v>
                </c:pt>
              </c:numCache>
            </c:numRef>
          </c:val>
          <c:extLst>
            <c:ext xmlns:c16="http://schemas.microsoft.com/office/drawing/2014/chart" uri="{C3380CC4-5D6E-409C-BE32-E72D297353CC}">
              <c16:uniqueId val="{00000001-996C-407C-B528-8D21C60204D2}"/>
            </c:ext>
          </c:extLst>
        </c:ser>
        <c:ser>
          <c:idx val="2"/>
          <c:order val="2"/>
          <c:tx>
            <c:strRef>
              <c:f>KPI_Analysis!$D$4</c:f>
              <c:strCache>
                <c:ptCount val="1"/>
                <c:pt idx="0">
                  <c:v>Sum of Revenue</c:v>
                </c:pt>
              </c:strCache>
            </c:strRef>
          </c:tx>
          <c:spPr>
            <a:solidFill>
              <a:schemeClr val="accent3"/>
            </a:solidFill>
            <a:ln>
              <a:noFill/>
            </a:ln>
            <a:effectLst/>
          </c:spPr>
          <c:invertIfNegative val="0"/>
          <c:cat>
            <c:strRef>
              <c:f>KPI_Analysis!$A$5:$A$9</c:f>
              <c:strCache>
                <c:ptCount val="4"/>
                <c:pt idx="0">
                  <c:v>Costco</c:v>
                </c:pt>
                <c:pt idx="1">
                  <c:v>Target</c:v>
                </c:pt>
                <c:pt idx="2">
                  <c:v>Walgreens</c:v>
                </c:pt>
                <c:pt idx="3">
                  <c:v>Walmart</c:v>
                </c:pt>
              </c:strCache>
            </c:strRef>
          </c:cat>
          <c:val>
            <c:numRef>
              <c:f>KPI_Analysis!$D$5:$D$9</c:f>
              <c:numCache>
                <c:formatCode>0.0</c:formatCode>
                <c:ptCount val="4"/>
                <c:pt idx="0">
                  <c:v>331750</c:v>
                </c:pt>
                <c:pt idx="1">
                  <c:v>238850</c:v>
                </c:pt>
                <c:pt idx="2">
                  <c:v>250650</c:v>
                </c:pt>
                <c:pt idx="3">
                  <c:v>391767.5</c:v>
                </c:pt>
              </c:numCache>
            </c:numRef>
          </c:val>
          <c:extLst>
            <c:ext xmlns:c16="http://schemas.microsoft.com/office/drawing/2014/chart" uri="{C3380CC4-5D6E-409C-BE32-E72D297353CC}">
              <c16:uniqueId val="{00000002-996C-407C-B528-8D21C60204D2}"/>
            </c:ext>
          </c:extLst>
        </c:ser>
        <c:dLbls>
          <c:showLegendKey val="0"/>
          <c:showVal val="0"/>
          <c:showCatName val="0"/>
          <c:showSerName val="0"/>
          <c:showPercent val="0"/>
          <c:showBubbleSize val="0"/>
        </c:dLbls>
        <c:gapWidth val="219"/>
        <c:overlap val="-27"/>
        <c:axId val="324162192"/>
        <c:axId val="324158256"/>
      </c:barChart>
      <c:catAx>
        <c:axId val="32416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58256"/>
        <c:crosses val="autoZero"/>
        <c:auto val="1"/>
        <c:lblAlgn val="ctr"/>
        <c:lblOffset val="100"/>
        <c:noMultiLvlLbl val="0"/>
      </c:catAx>
      <c:valAx>
        <c:axId val="32415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62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lumMod val="20000"/>
              <a:lumOff val="80000"/>
            </a:schemeClr>
          </a:solidFill>
          <a:ln>
            <a:noFill/>
          </a:ln>
          <a:effectLst/>
        </c:spPr>
      </c:pivotFmt>
    </c:pivotFmts>
    <c:plotArea>
      <c:layout/>
      <c:barChart>
        <c:barDir val="bar"/>
        <c:grouping val="clustered"/>
        <c:varyColors val="0"/>
        <c:ser>
          <c:idx val="0"/>
          <c:order val="0"/>
          <c:tx>
            <c:strRef>
              <c:f>KPI_Analysis!$B$12</c:f>
              <c:strCache>
                <c:ptCount val="1"/>
                <c:pt idx="0">
                  <c:v>Total</c:v>
                </c:pt>
              </c:strCache>
            </c:strRef>
          </c:tx>
          <c:spPr>
            <a:solidFill>
              <a:schemeClr val="accent2"/>
            </a:solidFill>
            <a:ln>
              <a:noFill/>
            </a:ln>
            <a:effectLst/>
          </c:spPr>
          <c:invertIfNegative val="0"/>
          <c:dPt>
            <c:idx val="4"/>
            <c:invertIfNegative val="0"/>
            <c:bubble3D val="0"/>
            <c:extLst>
              <c:ext xmlns:c16="http://schemas.microsoft.com/office/drawing/2014/chart" uri="{C3380CC4-5D6E-409C-BE32-E72D297353CC}">
                <c16:uniqueId val="{00000001-E13A-42CC-9D48-CFEB882C957D}"/>
              </c:ext>
            </c:extLst>
          </c:dPt>
          <c:dPt>
            <c:idx val="5"/>
            <c:invertIfNegative val="0"/>
            <c:bubble3D val="0"/>
            <c:spPr>
              <a:solidFill>
                <a:schemeClr val="accent2">
                  <a:lumMod val="20000"/>
                  <a:lumOff val="80000"/>
                </a:schemeClr>
              </a:solidFill>
              <a:ln>
                <a:noFill/>
              </a:ln>
              <a:effectLst/>
            </c:spPr>
          </c:dPt>
          <c:cat>
            <c:strRef>
              <c:f>KPI_Analysis!$A$13:$A$19</c:f>
              <c:strCache>
                <c:ptCount val="6"/>
                <c:pt idx="0">
                  <c:v>Coca-Cola</c:v>
                </c:pt>
                <c:pt idx="1">
                  <c:v>Dasani Water</c:v>
                </c:pt>
                <c:pt idx="2">
                  <c:v>Diet Coke</c:v>
                </c:pt>
                <c:pt idx="3">
                  <c:v>Fanta</c:v>
                </c:pt>
                <c:pt idx="4">
                  <c:v>Powerade</c:v>
                </c:pt>
                <c:pt idx="5">
                  <c:v>Sprite</c:v>
                </c:pt>
              </c:strCache>
            </c:strRef>
          </c:cat>
          <c:val>
            <c:numRef>
              <c:f>KPI_Analysis!$B$13:$B$19</c:f>
              <c:numCache>
                <c:formatCode>General</c:formatCode>
                <c:ptCount val="6"/>
                <c:pt idx="0">
                  <c:v>461900</c:v>
                </c:pt>
                <c:pt idx="1">
                  <c:v>392750</c:v>
                </c:pt>
                <c:pt idx="2">
                  <c:v>413750</c:v>
                </c:pt>
                <c:pt idx="3">
                  <c:v>338000</c:v>
                </c:pt>
                <c:pt idx="4">
                  <c:v>318750</c:v>
                </c:pt>
                <c:pt idx="5">
                  <c:v>384700</c:v>
                </c:pt>
              </c:numCache>
            </c:numRef>
          </c:val>
          <c:extLst>
            <c:ext xmlns:c16="http://schemas.microsoft.com/office/drawing/2014/chart" uri="{C3380CC4-5D6E-409C-BE32-E72D297353CC}">
              <c16:uniqueId val="{00000000-E13A-42CC-9D48-CFEB882C957D}"/>
            </c:ext>
          </c:extLst>
        </c:ser>
        <c:dLbls>
          <c:showLegendKey val="0"/>
          <c:showVal val="0"/>
          <c:showCatName val="0"/>
          <c:showSerName val="0"/>
          <c:showPercent val="0"/>
          <c:showBubbleSize val="0"/>
        </c:dLbls>
        <c:gapWidth val="182"/>
        <c:axId val="694213968"/>
        <c:axId val="694212328"/>
      </c:barChart>
      <c:catAx>
        <c:axId val="69421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12328"/>
        <c:crosses val="autoZero"/>
        <c:auto val="1"/>
        <c:lblAlgn val="ctr"/>
        <c:lblOffset val="100"/>
        <c:noMultiLvlLbl val="0"/>
      </c:catAx>
      <c:valAx>
        <c:axId val="694212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1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[KPI.xlsx]KPI_Analysis!PivotTable5</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KPI_Analysis!$B$91:$B$92</c:f>
              <c:strCache>
                <c:ptCount val="1"/>
                <c:pt idx="0">
                  <c:v>Costco</c:v>
                </c:pt>
              </c:strCache>
            </c:strRef>
          </c:tx>
          <c:spPr>
            <a:solidFill>
              <a:schemeClr val="accent1"/>
            </a:solidFill>
            <a:ln>
              <a:noFill/>
            </a:ln>
            <a:effectLst/>
          </c:spPr>
          <c:invertIfNegative val="0"/>
          <c:cat>
            <c:strRef>
              <c:f>KPI_Analysis!$A$93:$A$96</c:f>
              <c:strCache>
                <c:ptCount val="3"/>
                <c:pt idx="0">
                  <c:v>Northeast--New York</c:v>
                </c:pt>
                <c:pt idx="1">
                  <c:v>South--Texas</c:v>
                </c:pt>
                <c:pt idx="2">
                  <c:v>West--California</c:v>
                </c:pt>
              </c:strCache>
            </c:strRef>
          </c:cat>
          <c:val>
            <c:numRef>
              <c:f>KPI_Analysis!$B$93:$B$96</c:f>
              <c:numCache>
                <c:formatCode>General</c:formatCode>
                <c:ptCount val="3"/>
                <c:pt idx="2">
                  <c:v>544750</c:v>
                </c:pt>
              </c:numCache>
            </c:numRef>
          </c:val>
          <c:extLst>
            <c:ext xmlns:c16="http://schemas.microsoft.com/office/drawing/2014/chart" uri="{C3380CC4-5D6E-409C-BE32-E72D297353CC}">
              <c16:uniqueId val="{00000000-BFEB-434A-80AA-1075E2C0E6C6}"/>
            </c:ext>
          </c:extLst>
        </c:ser>
        <c:ser>
          <c:idx val="1"/>
          <c:order val="1"/>
          <c:tx>
            <c:strRef>
              <c:f>KPI_Analysis!$C$91:$C$92</c:f>
              <c:strCache>
                <c:ptCount val="1"/>
                <c:pt idx="0">
                  <c:v>Target</c:v>
                </c:pt>
              </c:strCache>
            </c:strRef>
          </c:tx>
          <c:spPr>
            <a:solidFill>
              <a:schemeClr val="accent2"/>
            </a:solidFill>
            <a:ln>
              <a:noFill/>
            </a:ln>
            <a:effectLst/>
          </c:spPr>
          <c:invertIfNegative val="0"/>
          <c:cat>
            <c:strRef>
              <c:f>KPI_Analysis!$A$93:$A$96</c:f>
              <c:strCache>
                <c:ptCount val="3"/>
                <c:pt idx="0">
                  <c:v>Northeast--New York</c:v>
                </c:pt>
                <c:pt idx="1">
                  <c:v>South--Texas</c:v>
                </c:pt>
                <c:pt idx="2">
                  <c:v>West--California</c:v>
                </c:pt>
              </c:strCache>
            </c:strRef>
          </c:cat>
          <c:val>
            <c:numRef>
              <c:f>KPI_Analysis!$C$93:$C$96</c:f>
              <c:numCache>
                <c:formatCode>General</c:formatCode>
                <c:ptCount val="3"/>
                <c:pt idx="1">
                  <c:v>566000</c:v>
                </c:pt>
              </c:numCache>
            </c:numRef>
          </c:val>
          <c:extLst>
            <c:ext xmlns:c16="http://schemas.microsoft.com/office/drawing/2014/chart" uri="{C3380CC4-5D6E-409C-BE32-E72D297353CC}">
              <c16:uniqueId val="{00000000-52B7-4CB8-8FFB-E1EAD41C8531}"/>
            </c:ext>
          </c:extLst>
        </c:ser>
        <c:ser>
          <c:idx val="2"/>
          <c:order val="2"/>
          <c:tx>
            <c:strRef>
              <c:f>KPI_Analysis!$D$91:$D$92</c:f>
              <c:strCache>
                <c:ptCount val="1"/>
                <c:pt idx="0">
                  <c:v>Walgreens</c:v>
                </c:pt>
              </c:strCache>
            </c:strRef>
          </c:tx>
          <c:spPr>
            <a:solidFill>
              <a:schemeClr val="accent3"/>
            </a:solidFill>
            <a:ln>
              <a:noFill/>
            </a:ln>
            <a:effectLst/>
          </c:spPr>
          <c:invertIfNegative val="0"/>
          <c:cat>
            <c:strRef>
              <c:f>KPI_Analysis!$A$93:$A$96</c:f>
              <c:strCache>
                <c:ptCount val="3"/>
                <c:pt idx="0">
                  <c:v>Northeast--New York</c:v>
                </c:pt>
                <c:pt idx="1">
                  <c:v>South--Texas</c:v>
                </c:pt>
                <c:pt idx="2">
                  <c:v>West--California</c:v>
                </c:pt>
              </c:strCache>
            </c:strRef>
          </c:cat>
          <c:val>
            <c:numRef>
              <c:f>KPI_Analysis!$D$93:$D$96</c:f>
              <c:numCache>
                <c:formatCode>General</c:formatCode>
                <c:ptCount val="3"/>
                <c:pt idx="2">
                  <c:v>492500</c:v>
                </c:pt>
              </c:numCache>
            </c:numRef>
          </c:val>
          <c:extLst>
            <c:ext xmlns:c16="http://schemas.microsoft.com/office/drawing/2014/chart" uri="{C3380CC4-5D6E-409C-BE32-E72D297353CC}">
              <c16:uniqueId val="{00000001-52B7-4CB8-8FFB-E1EAD41C8531}"/>
            </c:ext>
          </c:extLst>
        </c:ser>
        <c:ser>
          <c:idx val="3"/>
          <c:order val="3"/>
          <c:tx>
            <c:strRef>
              <c:f>KPI_Analysis!$E$91:$E$92</c:f>
              <c:strCache>
                <c:ptCount val="1"/>
                <c:pt idx="0">
                  <c:v>Walmart</c:v>
                </c:pt>
              </c:strCache>
            </c:strRef>
          </c:tx>
          <c:spPr>
            <a:solidFill>
              <a:schemeClr val="accent4"/>
            </a:solidFill>
            <a:ln>
              <a:noFill/>
            </a:ln>
            <a:effectLst/>
          </c:spPr>
          <c:invertIfNegative val="0"/>
          <c:cat>
            <c:strRef>
              <c:f>KPI_Analysis!$A$93:$A$96</c:f>
              <c:strCache>
                <c:ptCount val="3"/>
                <c:pt idx="0">
                  <c:v>Northeast--New York</c:v>
                </c:pt>
                <c:pt idx="1">
                  <c:v>South--Texas</c:v>
                </c:pt>
                <c:pt idx="2">
                  <c:v>West--California</c:v>
                </c:pt>
              </c:strCache>
            </c:strRef>
          </c:cat>
          <c:val>
            <c:numRef>
              <c:f>KPI_Analysis!$E$93:$E$96</c:f>
              <c:numCache>
                <c:formatCode>General</c:formatCode>
                <c:ptCount val="3"/>
                <c:pt idx="0">
                  <c:v>706600</c:v>
                </c:pt>
              </c:numCache>
            </c:numRef>
          </c:val>
          <c:extLst>
            <c:ext xmlns:c16="http://schemas.microsoft.com/office/drawing/2014/chart" uri="{C3380CC4-5D6E-409C-BE32-E72D297353CC}">
              <c16:uniqueId val="{00000002-52B7-4CB8-8FFB-E1EAD41C8531}"/>
            </c:ext>
          </c:extLst>
        </c:ser>
        <c:dLbls>
          <c:showLegendKey val="0"/>
          <c:showVal val="0"/>
          <c:showCatName val="0"/>
          <c:showSerName val="0"/>
          <c:showPercent val="0"/>
          <c:showBubbleSize val="0"/>
        </c:dLbls>
        <c:gapWidth val="219"/>
        <c:overlap val="-27"/>
        <c:axId val="694217904"/>
        <c:axId val="694210360"/>
      </c:barChart>
      <c:catAx>
        <c:axId val="6942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10360"/>
        <c:crosses val="autoZero"/>
        <c:auto val="1"/>
        <c:lblAlgn val="ctr"/>
        <c:lblOffset val="100"/>
        <c:noMultiLvlLbl val="0"/>
      </c:catAx>
      <c:valAx>
        <c:axId val="694210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17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[KPI.xlsx]KPI_Analysis!PivotTable15</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KPI_Analysis!$B$166:$B$167</c:f>
              <c:strCache>
                <c:ptCount val="1"/>
                <c:pt idx="0">
                  <c:v>Costco</c:v>
                </c:pt>
              </c:strCache>
            </c:strRef>
          </c:tx>
          <c:spPr>
            <a:solidFill>
              <a:schemeClr val="accent1"/>
            </a:solidFill>
            <a:ln>
              <a:noFill/>
            </a:ln>
            <a:effectLst/>
          </c:spPr>
          <c:invertIfNegative val="0"/>
          <c:cat>
            <c:strRef>
              <c:f>KPI_Analysis!$A$168:$A$174</c:f>
              <c:strCache>
                <c:ptCount val="6"/>
                <c:pt idx="0">
                  <c:v>Coca-Cola</c:v>
                </c:pt>
                <c:pt idx="1">
                  <c:v>Dasani Water</c:v>
                </c:pt>
                <c:pt idx="2">
                  <c:v>Diet Coke</c:v>
                </c:pt>
                <c:pt idx="3">
                  <c:v>Fanta</c:v>
                </c:pt>
                <c:pt idx="4">
                  <c:v>Powerade</c:v>
                </c:pt>
                <c:pt idx="5">
                  <c:v>Sprite</c:v>
                </c:pt>
              </c:strCache>
            </c:strRef>
          </c:cat>
          <c:val>
            <c:numRef>
              <c:f>KPI_Analysis!$B$168:$B$174</c:f>
              <c:numCache>
                <c:formatCode>General</c:formatCode>
                <c:ptCount val="6"/>
                <c:pt idx="0">
                  <c:v>108500</c:v>
                </c:pt>
                <c:pt idx="1">
                  <c:v>90250</c:v>
                </c:pt>
                <c:pt idx="2">
                  <c:v>99000</c:v>
                </c:pt>
                <c:pt idx="3">
                  <c:v>81250</c:v>
                </c:pt>
                <c:pt idx="4">
                  <c:v>74750</c:v>
                </c:pt>
                <c:pt idx="5">
                  <c:v>91000</c:v>
                </c:pt>
              </c:numCache>
            </c:numRef>
          </c:val>
          <c:extLst>
            <c:ext xmlns:c16="http://schemas.microsoft.com/office/drawing/2014/chart" uri="{C3380CC4-5D6E-409C-BE32-E72D297353CC}">
              <c16:uniqueId val="{00000000-6115-454F-896B-CD67A41B0D7F}"/>
            </c:ext>
          </c:extLst>
        </c:ser>
        <c:ser>
          <c:idx val="1"/>
          <c:order val="1"/>
          <c:tx>
            <c:strRef>
              <c:f>KPI_Analysis!$C$166:$C$167</c:f>
              <c:strCache>
                <c:ptCount val="1"/>
                <c:pt idx="0">
                  <c:v>Target</c:v>
                </c:pt>
              </c:strCache>
            </c:strRef>
          </c:tx>
          <c:spPr>
            <a:solidFill>
              <a:schemeClr val="accent2"/>
            </a:solidFill>
            <a:ln>
              <a:noFill/>
            </a:ln>
            <a:effectLst/>
          </c:spPr>
          <c:invertIfNegative val="0"/>
          <c:cat>
            <c:strRef>
              <c:f>KPI_Analysis!$A$168:$A$174</c:f>
              <c:strCache>
                <c:ptCount val="6"/>
                <c:pt idx="0">
                  <c:v>Coca-Cola</c:v>
                </c:pt>
                <c:pt idx="1">
                  <c:v>Dasani Water</c:v>
                </c:pt>
                <c:pt idx="2">
                  <c:v>Diet Coke</c:v>
                </c:pt>
                <c:pt idx="3">
                  <c:v>Fanta</c:v>
                </c:pt>
                <c:pt idx="4">
                  <c:v>Powerade</c:v>
                </c:pt>
                <c:pt idx="5">
                  <c:v>Sprite</c:v>
                </c:pt>
              </c:strCache>
            </c:strRef>
          </c:cat>
          <c:val>
            <c:numRef>
              <c:f>KPI_Analysis!$C$168:$C$174</c:f>
              <c:numCache>
                <c:formatCode>General</c:formatCode>
                <c:ptCount val="6"/>
                <c:pt idx="0">
                  <c:v>107750</c:v>
                </c:pt>
                <c:pt idx="1">
                  <c:v>100250</c:v>
                </c:pt>
                <c:pt idx="2">
                  <c:v>107750</c:v>
                </c:pt>
                <c:pt idx="3">
                  <c:v>79500</c:v>
                </c:pt>
                <c:pt idx="4">
                  <c:v>71750</c:v>
                </c:pt>
                <c:pt idx="5">
                  <c:v>99000</c:v>
                </c:pt>
              </c:numCache>
            </c:numRef>
          </c:val>
          <c:extLst>
            <c:ext xmlns:c16="http://schemas.microsoft.com/office/drawing/2014/chart" uri="{C3380CC4-5D6E-409C-BE32-E72D297353CC}">
              <c16:uniqueId val="{00000000-B278-4FB3-9454-344C878E12CF}"/>
            </c:ext>
          </c:extLst>
        </c:ser>
        <c:ser>
          <c:idx val="2"/>
          <c:order val="2"/>
          <c:tx>
            <c:strRef>
              <c:f>KPI_Analysis!$D$166:$D$167</c:f>
              <c:strCache>
                <c:ptCount val="1"/>
                <c:pt idx="0">
                  <c:v>Walgreens</c:v>
                </c:pt>
              </c:strCache>
            </c:strRef>
          </c:tx>
          <c:spPr>
            <a:solidFill>
              <a:schemeClr val="accent3"/>
            </a:solidFill>
            <a:ln>
              <a:noFill/>
            </a:ln>
            <a:effectLst/>
          </c:spPr>
          <c:invertIfNegative val="0"/>
          <c:cat>
            <c:strRef>
              <c:f>KPI_Analysis!$A$168:$A$174</c:f>
              <c:strCache>
                <c:ptCount val="6"/>
                <c:pt idx="0">
                  <c:v>Coca-Cola</c:v>
                </c:pt>
                <c:pt idx="1">
                  <c:v>Dasani Water</c:v>
                </c:pt>
                <c:pt idx="2">
                  <c:v>Diet Coke</c:v>
                </c:pt>
                <c:pt idx="3">
                  <c:v>Fanta</c:v>
                </c:pt>
                <c:pt idx="4">
                  <c:v>Powerade</c:v>
                </c:pt>
                <c:pt idx="5">
                  <c:v>Sprite</c:v>
                </c:pt>
              </c:strCache>
            </c:strRef>
          </c:cat>
          <c:val>
            <c:numRef>
              <c:f>KPI_Analysis!$D$168:$D$174</c:f>
              <c:numCache>
                <c:formatCode>General</c:formatCode>
                <c:ptCount val="6"/>
                <c:pt idx="0">
                  <c:v>99750</c:v>
                </c:pt>
                <c:pt idx="1">
                  <c:v>81250</c:v>
                </c:pt>
                <c:pt idx="2">
                  <c:v>90250</c:v>
                </c:pt>
                <c:pt idx="3">
                  <c:v>72750</c:v>
                </c:pt>
                <c:pt idx="4">
                  <c:v>66000</c:v>
                </c:pt>
                <c:pt idx="5">
                  <c:v>82500</c:v>
                </c:pt>
              </c:numCache>
            </c:numRef>
          </c:val>
          <c:extLst>
            <c:ext xmlns:c16="http://schemas.microsoft.com/office/drawing/2014/chart" uri="{C3380CC4-5D6E-409C-BE32-E72D297353CC}">
              <c16:uniqueId val="{00000001-B278-4FB3-9454-344C878E12CF}"/>
            </c:ext>
          </c:extLst>
        </c:ser>
        <c:ser>
          <c:idx val="3"/>
          <c:order val="3"/>
          <c:tx>
            <c:strRef>
              <c:f>KPI_Analysis!$E$166:$E$167</c:f>
              <c:strCache>
                <c:ptCount val="1"/>
                <c:pt idx="0">
                  <c:v>Walmart</c:v>
                </c:pt>
              </c:strCache>
            </c:strRef>
          </c:tx>
          <c:spPr>
            <a:solidFill>
              <a:schemeClr val="accent4"/>
            </a:solidFill>
            <a:ln>
              <a:noFill/>
            </a:ln>
            <a:effectLst/>
          </c:spPr>
          <c:invertIfNegative val="0"/>
          <c:cat>
            <c:strRef>
              <c:f>KPI_Analysis!$A$168:$A$174</c:f>
              <c:strCache>
                <c:ptCount val="6"/>
                <c:pt idx="0">
                  <c:v>Coca-Cola</c:v>
                </c:pt>
                <c:pt idx="1">
                  <c:v>Dasani Water</c:v>
                </c:pt>
                <c:pt idx="2">
                  <c:v>Diet Coke</c:v>
                </c:pt>
                <c:pt idx="3">
                  <c:v>Fanta</c:v>
                </c:pt>
                <c:pt idx="4">
                  <c:v>Powerade</c:v>
                </c:pt>
                <c:pt idx="5">
                  <c:v>Sprite</c:v>
                </c:pt>
              </c:strCache>
            </c:strRef>
          </c:cat>
          <c:val>
            <c:numRef>
              <c:f>KPI_Analysis!$E$168:$E$174</c:f>
              <c:numCache>
                <c:formatCode>General</c:formatCode>
                <c:ptCount val="6"/>
                <c:pt idx="0">
                  <c:v>145900</c:v>
                </c:pt>
                <c:pt idx="1">
                  <c:v>121000</c:v>
                </c:pt>
                <c:pt idx="2">
                  <c:v>116750</c:v>
                </c:pt>
                <c:pt idx="3">
                  <c:v>104500</c:v>
                </c:pt>
                <c:pt idx="4">
                  <c:v>106250</c:v>
                </c:pt>
                <c:pt idx="5">
                  <c:v>112200</c:v>
                </c:pt>
              </c:numCache>
            </c:numRef>
          </c:val>
          <c:extLst>
            <c:ext xmlns:c16="http://schemas.microsoft.com/office/drawing/2014/chart" uri="{C3380CC4-5D6E-409C-BE32-E72D297353CC}">
              <c16:uniqueId val="{00000002-B278-4FB3-9454-344C878E12CF}"/>
            </c:ext>
          </c:extLst>
        </c:ser>
        <c:dLbls>
          <c:showLegendKey val="0"/>
          <c:showVal val="0"/>
          <c:showCatName val="0"/>
          <c:showSerName val="0"/>
          <c:showPercent val="0"/>
          <c:showBubbleSize val="0"/>
        </c:dLbls>
        <c:gapWidth val="219"/>
        <c:overlap val="-27"/>
        <c:axId val="690587480"/>
        <c:axId val="690592728"/>
      </c:barChart>
      <c:catAx>
        <c:axId val="690587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92728"/>
        <c:crosses val="autoZero"/>
        <c:auto val="1"/>
        <c:lblAlgn val="ctr"/>
        <c:lblOffset val="100"/>
        <c:noMultiLvlLbl val="0"/>
      </c:catAx>
      <c:valAx>
        <c:axId val="690592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87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KPI_Analysis!$B$102:$B$103</c:f>
              <c:strCache>
                <c:ptCount val="1"/>
                <c:pt idx="0">
                  <c:v>Coca-Cola</c:v>
                </c:pt>
              </c:strCache>
            </c:strRef>
          </c:tx>
          <c:spPr>
            <a:solidFill>
              <a:schemeClr val="accent1"/>
            </a:solidFill>
            <a:ln>
              <a:noFill/>
            </a:ln>
            <a:effectLst/>
          </c:spPr>
          <c:invertIfNegative val="0"/>
          <c:cat>
            <c:strRef>
              <c:f>KPI_Analysis!$A$104:$A$107</c:f>
              <c:strCache>
                <c:ptCount val="3"/>
                <c:pt idx="0">
                  <c:v>Northeast--New York</c:v>
                </c:pt>
                <c:pt idx="1">
                  <c:v>South--Texas</c:v>
                </c:pt>
                <c:pt idx="2">
                  <c:v>West--California</c:v>
                </c:pt>
              </c:strCache>
            </c:strRef>
          </c:cat>
          <c:val>
            <c:numRef>
              <c:f>KPI_Analysis!$B$104:$B$107</c:f>
              <c:numCache>
                <c:formatCode>General</c:formatCode>
                <c:ptCount val="3"/>
                <c:pt idx="0">
                  <c:v>145900</c:v>
                </c:pt>
                <c:pt idx="1">
                  <c:v>107750</c:v>
                </c:pt>
                <c:pt idx="2">
                  <c:v>208250</c:v>
                </c:pt>
              </c:numCache>
            </c:numRef>
          </c:val>
          <c:extLst>
            <c:ext xmlns:c16="http://schemas.microsoft.com/office/drawing/2014/chart" uri="{C3380CC4-5D6E-409C-BE32-E72D297353CC}">
              <c16:uniqueId val="{00000000-6757-4948-A8CF-6AEFBF44687F}"/>
            </c:ext>
          </c:extLst>
        </c:ser>
        <c:ser>
          <c:idx val="1"/>
          <c:order val="1"/>
          <c:tx>
            <c:strRef>
              <c:f>KPI_Analysis!$C$102:$C$103</c:f>
              <c:strCache>
                <c:ptCount val="1"/>
                <c:pt idx="0">
                  <c:v>Dasani Water</c:v>
                </c:pt>
              </c:strCache>
            </c:strRef>
          </c:tx>
          <c:spPr>
            <a:solidFill>
              <a:schemeClr val="accent2"/>
            </a:solidFill>
            <a:ln>
              <a:noFill/>
            </a:ln>
            <a:effectLst/>
          </c:spPr>
          <c:invertIfNegative val="0"/>
          <c:cat>
            <c:strRef>
              <c:f>KPI_Analysis!$A$104:$A$107</c:f>
              <c:strCache>
                <c:ptCount val="3"/>
                <c:pt idx="0">
                  <c:v>Northeast--New York</c:v>
                </c:pt>
                <c:pt idx="1">
                  <c:v>South--Texas</c:v>
                </c:pt>
                <c:pt idx="2">
                  <c:v>West--California</c:v>
                </c:pt>
              </c:strCache>
            </c:strRef>
          </c:cat>
          <c:val>
            <c:numRef>
              <c:f>KPI_Analysis!$C$104:$C$107</c:f>
              <c:numCache>
                <c:formatCode>General</c:formatCode>
                <c:ptCount val="3"/>
                <c:pt idx="0">
                  <c:v>121000</c:v>
                </c:pt>
                <c:pt idx="1">
                  <c:v>100250</c:v>
                </c:pt>
                <c:pt idx="2">
                  <c:v>171500</c:v>
                </c:pt>
              </c:numCache>
            </c:numRef>
          </c:val>
          <c:extLst>
            <c:ext xmlns:c16="http://schemas.microsoft.com/office/drawing/2014/chart" uri="{C3380CC4-5D6E-409C-BE32-E72D297353CC}">
              <c16:uniqueId val="{0000000A-9EAF-4635-8D12-9CAF48E4B8C2}"/>
            </c:ext>
          </c:extLst>
        </c:ser>
        <c:ser>
          <c:idx val="2"/>
          <c:order val="2"/>
          <c:tx>
            <c:strRef>
              <c:f>KPI_Analysis!$D$102:$D$103</c:f>
              <c:strCache>
                <c:ptCount val="1"/>
                <c:pt idx="0">
                  <c:v>Diet Coke</c:v>
                </c:pt>
              </c:strCache>
            </c:strRef>
          </c:tx>
          <c:spPr>
            <a:solidFill>
              <a:schemeClr val="accent3"/>
            </a:solidFill>
            <a:ln>
              <a:noFill/>
            </a:ln>
            <a:effectLst/>
          </c:spPr>
          <c:invertIfNegative val="0"/>
          <c:cat>
            <c:strRef>
              <c:f>KPI_Analysis!$A$104:$A$107</c:f>
              <c:strCache>
                <c:ptCount val="3"/>
                <c:pt idx="0">
                  <c:v>Northeast--New York</c:v>
                </c:pt>
                <c:pt idx="1">
                  <c:v>South--Texas</c:v>
                </c:pt>
                <c:pt idx="2">
                  <c:v>West--California</c:v>
                </c:pt>
              </c:strCache>
            </c:strRef>
          </c:cat>
          <c:val>
            <c:numRef>
              <c:f>KPI_Analysis!$D$104:$D$107</c:f>
              <c:numCache>
                <c:formatCode>General</c:formatCode>
                <c:ptCount val="3"/>
                <c:pt idx="0">
                  <c:v>116750</c:v>
                </c:pt>
                <c:pt idx="1">
                  <c:v>107750</c:v>
                </c:pt>
                <c:pt idx="2">
                  <c:v>189250</c:v>
                </c:pt>
              </c:numCache>
            </c:numRef>
          </c:val>
          <c:extLst>
            <c:ext xmlns:c16="http://schemas.microsoft.com/office/drawing/2014/chart" uri="{C3380CC4-5D6E-409C-BE32-E72D297353CC}">
              <c16:uniqueId val="{0000000B-9EAF-4635-8D12-9CAF48E4B8C2}"/>
            </c:ext>
          </c:extLst>
        </c:ser>
        <c:ser>
          <c:idx val="3"/>
          <c:order val="3"/>
          <c:tx>
            <c:strRef>
              <c:f>KPI_Analysis!$E$102:$E$103</c:f>
              <c:strCache>
                <c:ptCount val="1"/>
                <c:pt idx="0">
                  <c:v>Fanta</c:v>
                </c:pt>
              </c:strCache>
            </c:strRef>
          </c:tx>
          <c:spPr>
            <a:solidFill>
              <a:schemeClr val="accent4"/>
            </a:solidFill>
            <a:ln>
              <a:noFill/>
            </a:ln>
            <a:effectLst/>
          </c:spPr>
          <c:invertIfNegative val="0"/>
          <c:cat>
            <c:strRef>
              <c:f>KPI_Analysis!$A$104:$A$107</c:f>
              <c:strCache>
                <c:ptCount val="3"/>
                <c:pt idx="0">
                  <c:v>Northeast--New York</c:v>
                </c:pt>
                <c:pt idx="1">
                  <c:v>South--Texas</c:v>
                </c:pt>
                <c:pt idx="2">
                  <c:v>West--California</c:v>
                </c:pt>
              </c:strCache>
            </c:strRef>
          </c:cat>
          <c:val>
            <c:numRef>
              <c:f>KPI_Analysis!$E$104:$E$107</c:f>
              <c:numCache>
                <c:formatCode>General</c:formatCode>
                <c:ptCount val="3"/>
                <c:pt idx="0">
                  <c:v>104500</c:v>
                </c:pt>
                <c:pt idx="1">
                  <c:v>79500</c:v>
                </c:pt>
                <c:pt idx="2">
                  <c:v>154000</c:v>
                </c:pt>
              </c:numCache>
            </c:numRef>
          </c:val>
          <c:extLst>
            <c:ext xmlns:c16="http://schemas.microsoft.com/office/drawing/2014/chart" uri="{C3380CC4-5D6E-409C-BE32-E72D297353CC}">
              <c16:uniqueId val="{0000000C-9EAF-4635-8D12-9CAF48E4B8C2}"/>
            </c:ext>
          </c:extLst>
        </c:ser>
        <c:ser>
          <c:idx val="4"/>
          <c:order val="4"/>
          <c:tx>
            <c:strRef>
              <c:f>KPI_Analysis!$F$102:$F$103</c:f>
              <c:strCache>
                <c:ptCount val="1"/>
                <c:pt idx="0">
                  <c:v>Powerade</c:v>
                </c:pt>
              </c:strCache>
            </c:strRef>
          </c:tx>
          <c:spPr>
            <a:solidFill>
              <a:schemeClr val="accent5"/>
            </a:solidFill>
            <a:ln>
              <a:noFill/>
            </a:ln>
            <a:effectLst/>
          </c:spPr>
          <c:invertIfNegative val="0"/>
          <c:cat>
            <c:strRef>
              <c:f>KPI_Analysis!$A$104:$A$107</c:f>
              <c:strCache>
                <c:ptCount val="3"/>
                <c:pt idx="0">
                  <c:v>Northeast--New York</c:v>
                </c:pt>
                <c:pt idx="1">
                  <c:v>South--Texas</c:v>
                </c:pt>
                <c:pt idx="2">
                  <c:v>West--California</c:v>
                </c:pt>
              </c:strCache>
            </c:strRef>
          </c:cat>
          <c:val>
            <c:numRef>
              <c:f>KPI_Analysis!$F$104:$F$107</c:f>
              <c:numCache>
                <c:formatCode>General</c:formatCode>
                <c:ptCount val="3"/>
                <c:pt idx="0">
                  <c:v>106250</c:v>
                </c:pt>
                <c:pt idx="1">
                  <c:v>71750</c:v>
                </c:pt>
                <c:pt idx="2">
                  <c:v>140750</c:v>
                </c:pt>
              </c:numCache>
            </c:numRef>
          </c:val>
          <c:extLst>
            <c:ext xmlns:c16="http://schemas.microsoft.com/office/drawing/2014/chart" uri="{C3380CC4-5D6E-409C-BE32-E72D297353CC}">
              <c16:uniqueId val="{0000000D-9EAF-4635-8D12-9CAF48E4B8C2}"/>
            </c:ext>
          </c:extLst>
        </c:ser>
        <c:ser>
          <c:idx val="5"/>
          <c:order val="5"/>
          <c:tx>
            <c:strRef>
              <c:f>KPI_Analysis!$G$102:$G$103</c:f>
              <c:strCache>
                <c:ptCount val="1"/>
                <c:pt idx="0">
                  <c:v>Sprite</c:v>
                </c:pt>
              </c:strCache>
            </c:strRef>
          </c:tx>
          <c:spPr>
            <a:solidFill>
              <a:schemeClr val="accent6"/>
            </a:solidFill>
            <a:ln>
              <a:noFill/>
            </a:ln>
            <a:effectLst/>
          </c:spPr>
          <c:invertIfNegative val="0"/>
          <c:cat>
            <c:strRef>
              <c:f>KPI_Analysis!$A$104:$A$107</c:f>
              <c:strCache>
                <c:ptCount val="3"/>
                <c:pt idx="0">
                  <c:v>Northeast--New York</c:v>
                </c:pt>
                <c:pt idx="1">
                  <c:v>South--Texas</c:v>
                </c:pt>
                <c:pt idx="2">
                  <c:v>West--California</c:v>
                </c:pt>
              </c:strCache>
            </c:strRef>
          </c:cat>
          <c:val>
            <c:numRef>
              <c:f>KPI_Analysis!$G$104:$G$107</c:f>
              <c:numCache>
                <c:formatCode>General</c:formatCode>
                <c:ptCount val="3"/>
                <c:pt idx="0">
                  <c:v>112200</c:v>
                </c:pt>
                <c:pt idx="1">
                  <c:v>99000</c:v>
                </c:pt>
                <c:pt idx="2">
                  <c:v>173500</c:v>
                </c:pt>
              </c:numCache>
            </c:numRef>
          </c:val>
          <c:extLst>
            <c:ext xmlns:c16="http://schemas.microsoft.com/office/drawing/2014/chart" uri="{C3380CC4-5D6E-409C-BE32-E72D297353CC}">
              <c16:uniqueId val="{0000000E-9EAF-4635-8D12-9CAF48E4B8C2}"/>
            </c:ext>
          </c:extLst>
        </c:ser>
        <c:dLbls>
          <c:showLegendKey val="0"/>
          <c:showVal val="0"/>
          <c:showCatName val="0"/>
          <c:showSerName val="0"/>
          <c:showPercent val="0"/>
          <c:showBubbleSize val="0"/>
        </c:dLbls>
        <c:gapWidth val="182"/>
        <c:axId val="593188152"/>
        <c:axId val="593185200"/>
      </c:barChart>
      <c:catAx>
        <c:axId val="593188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5200"/>
        <c:crosses val="autoZero"/>
        <c:auto val="1"/>
        <c:lblAlgn val="ctr"/>
        <c:lblOffset val="100"/>
        <c:noMultiLvlLbl val="0"/>
      </c:catAx>
      <c:valAx>
        <c:axId val="59318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188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[KPI.xlsx]KPI_Analysis!PivotTable6</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KPI_Analysis!$B$102:$B$103</c:f>
              <c:strCache>
                <c:ptCount val="1"/>
                <c:pt idx="0">
                  <c:v>Coca-Cola</c:v>
                </c:pt>
              </c:strCache>
            </c:strRef>
          </c:tx>
          <c:spPr>
            <a:ln w="28575" cap="rnd">
              <a:solidFill>
                <a:schemeClr val="accent1"/>
              </a:solidFill>
              <a:round/>
            </a:ln>
            <a:effectLst/>
          </c:spPr>
          <c:marker>
            <c:symbol val="none"/>
          </c:marker>
          <c:cat>
            <c:strRef>
              <c:f>KPI_Analysis!$A$104:$A$107</c:f>
              <c:strCache>
                <c:ptCount val="3"/>
                <c:pt idx="0">
                  <c:v>Northeast--New York</c:v>
                </c:pt>
                <c:pt idx="1">
                  <c:v>South--Texas</c:v>
                </c:pt>
                <c:pt idx="2">
                  <c:v>West--California</c:v>
                </c:pt>
              </c:strCache>
            </c:strRef>
          </c:cat>
          <c:val>
            <c:numRef>
              <c:f>KPI_Analysis!$B$104:$B$107</c:f>
              <c:numCache>
                <c:formatCode>General</c:formatCode>
                <c:ptCount val="3"/>
                <c:pt idx="0">
                  <c:v>145900</c:v>
                </c:pt>
                <c:pt idx="1">
                  <c:v>107750</c:v>
                </c:pt>
                <c:pt idx="2">
                  <c:v>208250</c:v>
                </c:pt>
              </c:numCache>
            </c:numRef>
          </c:val>
          <c:smooth val="0"/>
          <c:extLst>
            <c:ext xmlns:c16="http://schemas.microsoft.com/office/drawing/2014/chart" uri="{C3380CC4-5D6E-409C-BE32-E72D297353CC}">
              <c16:uniqueId val="{00000000-4E22-470F-99CB-1DEE09B94C45}"/>
            </c:ext>
          </c:extLst>
        </c:ser>
        <c:ser>
          <c:idx val="1"/>
          <c:order val="1"/>
          <c:tx>
            <c:strRef>
              <c:f>KPI_Analysis!$C$102:$C$103</c:f>
              <c:strCache>
                <c:ptCount val="1"/>
                <c:pt idx="0">
                  <c:v>Dasani Water</c:v>
                </c:pt>
              </c:strCache>
            </c:strRef>
          </c:tx>
          <c:spPr>
            <a:ln w="28575" cap="rnd">
              <a:solidFill>
                <a:schemeClr val="accent2"/>
              </a:solidFill>
              <a:round/>
            </a:ln>
            <a:effectLst/>
          </c:spPr>
          <c:marker>
            <c:symbol val="none"/>
          </c:marker>
          <c:cat>
            <c:strRef>
              <c:f>KPI_Analysis!$A$104:$A$107</c:f>
              <c:strCache>
                <c:ptCount val="3"/>
                <c:pt idx="0">
                  <c:v>Northeast--New York</c:v>
                </c:pt>
                <c:pt idx="1">
                  <c:v>South--Texas</c:v>
                </c:pt>
                <c:pt idx="2">
                  <c:v>West--California</c:v>
                </c:pt>
              </c:strCache>
            </c:strRef>
          </c:cat>
          <c:val>
            <c:numRef>
              <c:f>KPI_Analysis!$C$104:$C$107</c:f>
              <c:numCache>
                <c:formatCode>General</c:formatCode>
                <c:ptCount val="3"/>
                <c:pt idx="0">
                  <c:v>121000</c:v>
                </c:pt>
                <c:pt idx="1">
                  <c:v>100250</c:v>
                </c:pt>
                <c:pt idx="2">
                  <c:v>171500</c:v>
                </c:pt>
              </c:numCache>
            </c:numRef>
          </c:val>
          <c:smooth val="0"/>
          <c:extLst>
            <c:ext xmlns:c16="http://schemas.microsoft.com/office/drawing/2014/chart" uri="{C3380CC4-5D6E-409C-BE32-E72D297353CC}">
              <c16:uniqueId val="{0000000A-BBC0-4407-8256-AA6DF596F75C}"/>
            </c:ext>
          </c:extLst>
        </c:ser>
        <c:ser>
          <c:idx val="2"/>
          <c:order val="2"/>
          <c:tx>
            <c:strRef>
              <c:f>KPI_Analysis!$D$102:$D$103</c:f>
              <c:strCache>
                <c:ptCount val="1"/>
                <c:pt idx="0">
                  <c:v>Diet Coke</c:v>
                </c:pt>
              </c:strCache>
            </c:strRef>
          </c:tx>
          <c:spPr>
            <a:ln w="28575" cap="rnd">
              <a:solidFill>
                <a:schemeClr val="accent3"/>
              </a:solidFill>
              <a:round/>
            </a:ln>
            <a:effectLst/>
          </c:spPr>
          <c:marker>
            <c:symbol val="none"/>
          </c:marker>
          <c:cat>
            <c:strRef>
              <c:f>KPI_Analysis!$A$104:$A$107</c:f>
              <c:strCache>
                <c:ptCount val="3"/>
                <c:pt idx="0">
                  <c:v>Northeast--New York</c:v>
                </c:pt>
                <c:pt idx="1">
                  <c:v>South--Texas</c:v>
                </c:pt>
                <c:pt idx="2">
                  <c:v>West--California</c:v>
                </c:pt>
              </c:strCache>
            </c:strRef>
          </c:cat>
          <c:val>
            <c:numRef>
              <c:f>KPI_Analysis!$D$104:$D$107</c:f>
              <c:numCache>
                <c:formatCode>General</c:formatCode>
                <c:ptCount val="3"/>
                <c:pt idx="0">
                  <c:v>116750</c:v>
                </c:pt>
                <c:pt idx="1">
                  <c:v>107750</c:v>
                </c:pt>
                <c:pt idx="2">
                  <c:v>189250</c:v>
                </c:pt>
              </c:numCache>
            </c:numRef>
          </c:val>
          <c:smooth val="0"/>
          <c:extLst>
            <c:ext xmlns:c16="http://schemas.microsoft.com/office/drawing/2014/chart" uri="{C3380CC4-5D6E-409C-BE32-E72D297353CC}">
              <c16:uniqueId val="{0000000B-BBC0-4407-8256-AA6DF596F75C}"/>
            </c:ext>
          </c:extLst>
        </c:ser>
        <c:ser>
          <c:idx val="3"/>
          <c:order val="3"/>
          <c:tx>
            <c:strRef>
              <c:f>KPI_Analysis!$E$102:$E$103</c:f>
              <c:strCache>
                <c:ptCount val="1"/>
                <c:pt idx="0">
                  <c:v>Fanta</c:v>
                </c:pt>
              </c:strCache>
            </c:strRef>
          </c:tx>
          <c:spPr>
            <a:ln w="28575" cap="rnd">
              <a:solidFill>
                <a:schemeClr val="accent4"/>
              </a:solidFill>
              <a:round/>
            </a:ln>
            <a:effectLst/>
          </c:spPr>
          <c:marker>
            <c:symbol val="none"/>
          </c:marker>
          <c:cat>
            <c:strRef>
              <c:f>KPI_Analysis!$A$104:$A$107</c:f>
              <c:strCache>
                <c:ptCount val="3"/>
                <c:pt idx="0">
                  <c:v>Northeast--New York</c:v>
                </c:pt>
                <c:pt idx="1">
                  <c:v>South--Texas</c:v>
                </c:pt>
                <c:pt idx="2">
                  <c:v>West--California</c:v>
                </c:pt>
              </c:strCache>
            </c:strRef>
          </c:cat>
          <c:val>
            <c:numRef>
              <c:f>KPI_Analysis!$E$104:$E$107</c:f>
              <c:numCache>
                <c:formatCode>General</c:formatCode>
                <c:ptCount val="3"/>
                <c:pt idx="0">
                  <c:v>104500</c:v>
                </c:pt>
                <c:pt idx="1">
                  <c:v>79500</c:v>
                </c:pt>
                <c:pt idx="2">
                  <c:v>154000</c:v>
                </c:pt>
              </c:numCache>
            </c:numRef>
          </c:val>
          <c:smooth val="0"/>
          <c:extLst>
            <c:ext xmlns:c16="http://schemas.microsoft.com/office/drawing/2014/chart" uri="{C3380CC4-5D6E-409C-BE32-E72D297353CC}">
              <c16:uniqueId val="{0000000C-BBC0-4407-8256-AA6DF596F75C}"/>
            </c:ext>
          </c:extLst>
        </c:ser>
        <c:ser>
          <c:idx val="4"/>
          <c:order val="4"/>
          <c:tx>
            <c:strRef>
              <c:f>KPI_Analysis!$F$102:$F$103</c:f>
              <c:strCache>
                <c:ptCount val="1"/>
                <c:pt idx="0">
                  <c:v>Powerade</c:v>
                </c:pt>
              </c:strCache>
            </c:strRef>
          </c:tx>
          <c:spPr>
            <a:ln w="28575" cap="rnd">
              <a:solidFill>
                <a:schemeClr val="accent5"/>
              </a:solidFill>
              <a:round/>
            </a:ln>
            <a:effectLst/>
          </c:spPr>
          <c:marker>
            <c:symbol val="none"/>
          </c:marker>
          <c:cat>
            <c:strRef>
              <c:f>KPI_Analysis!$A$104:$A$107</c:f>
              <c:strCache>
                <c:ptCount val="3"/>
                <c:pt idx="0">
                  <c:v>Northeast--New York</c:v>
                </c:pt>
                <c:pt idx="1">
                  <c:v>South--Texas</c:v>
                </c:pt>
                <c:pt idx="2">
                  <c:v>West--California</c:v>
                </c:pt>
              </c:strCache>
            </c:strRef>
          </c:cat>
          <c:val>
            <c:numRef>
              <c:f>KPI_Analysis!$F$104:$F$107</c:f>
              <c:numCache>
                <c:formatCode>General</c:formatCode>
                <c:ptCount val="3"/>
                <c:pt idx="0">
                  <c:v>106250</c:v>
                </c:pt>
                <c:pt idx="1">
                  <c:v>71750</c:v>
                </c:pt>
                <c:pt idx="2">
                  <c:v>140750</c:v>
                </c:pt>
              </c:numCache>
            </c:numRef>
          </c:val>
          <c:smooth val="0"/>
          <c:extLst>
            <c:ext xmlns:c16="http://schemas.microsoft.com/office/drawing/2014/chart" uri="{C3380CC4-5D6E-409C-BE32-E72D297353CC}">
              <c16:uniqueId val="{0000000D-BBC0-4407-8256-AA6DF596F75C}"/>
            </c:ext>
          </c:extLst>
        </c:ser>
        <c:ser>
          <c:idx val="5"/>
          <c:order val="5"/>
          <c:tx>
            <c:strRef>
              <c:f>KPI_Analysis!$G$102:$G$103</c:f>
              <c:strCache>
                <c:ptCount val="1"/>
                <c:pt idx="0">
                  <c:v>Sprite</c:v>
                </c:pt>
              </c:strCache>
            </c:strRef>
          </c:tx>
          <c:spPr>
            <a:ln w="28575" cap="rnd">
              <a:solidFill>
                <a:schemeClr val="accent6"/>
              </a:solidFill>
              <a:round/>
            </a:ln>
            <a:effectLst/>
          </c:spPr>
          <c:marker>
            <c:symbol val="none"/>
          </c:marker>
          <c:cat>
            <c:strRef>
              <c:f>KPI_Analysis!$A$104:$A$107</c:f>
              <c:strCache>
                <c:ptCount val="3"/>
                <c:pt idx="0">
                  <c:v>Northeast--New York</c:v>
                </c:pt>
                <c:pt idx="1">
                  <c:v>South--Texas</c:v>
                </c:pt>
                <c:pt idx="2">
                  <c:v>West--California</c:v>
                </c:pt>
              </c:strCache>
            </c:strRef>
          </c:cat>
          <c:val>
            <c:numRef>
              <c:f>KPI_Analysis!$G$104:$G$107</c:f>
              <c:numCache>
                <c:formatCode>General</c:formatCode>
                <c:ptCount val="3"/>
                <c:pt idx="0">
                  <c:v>112200</c:v>
                </c:pt>
                <c:pt idx="1">
                  <c:v>99000</c:v>
                </c:pt>
                <c:pt idx="2">
                  <c:v>173500</c:v>
                </c:pt>
              </c:numCache>
            </c:numRef>
          </c:val>
          <c:smooth val="0"/>
          <c:extLst>
            <c:ext xmlns:c16="http://schemas.microsoft.com/office/drawing/2014/chart" uri="{C3380CC4-5D6E-409C-BE32-E72D297353CC}">
              <c16:uniqueId val="{0000000E-BBC0-4407-8256-AA6DF596F75C}"/>
            </c:ext>
          </c:extLst>
        </c:ser>
        <c:dLbls>
          <c:showLegendKey val="0"/>
          <c:showVal val="0"/>
          <c:showCatName val="0"/>
          <c:showSerName val="0"/>
          <c:showPercent val="0"/>
          <c:showBubbleSize val="0"/>
        </c:dLbls>
        <c:smooth val="0"/>
        <c:axId val="699300792"/>
        <c:axId val="593818168"/>
      </c:lineChart>
      <c:catAx>
        <c:axId val="699300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818168"/>
        <c:crosses val="autoZero"/>
        <c:auto val="1"/>
        <c:lblAlgn val="ctr"/>
        <c:lblOffset val="100"/>
        <c:noMultiLvlLbl val="0"/>
      </c:catAx>
      <c:valAx>
        <c:axId val="593818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300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[KPI.xlsx]KPI_Analysis!PivotTable4</c:name>
    <c:fmtId val="1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0"/>
          <c:y val="0.14876230715063057"/>
          <c:w val="0.80284723510203637"/>
          <c:h val="0.8230991613853148"/>
        </c:manualLayout>
      </c:layout>
      <c:lineChart>
        <c:grouping val="standard"/>
        <c:varyColors val="0"/>
        <c:ser>
          <c:idx val="0"/>
          <c:order val="0"/>
          <c:tx>
            <c:strRef>
              <c:f>KPI_Analysis!$B$34:$B$35</c:f>
              <c:strCache>
                <c:ptCount val="1"/>
                <c:pt idx="0">
                  <c:v>Costco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KPI_Analysis!$A$36:$A$84</c:f>
              <c:strCache>
                <c:ptCount val="48"/>
                <c:pt idx="0">
                  <c:v>1/2/2022</c:v>
                </c:pt>
                <c:pt idx="1">
                  <c:v>1/14/2022</c:v>
                </c:pt>
                <c:pt idx="2">
                  <c:v>1/15/2022</c:v>
                </c:pt>
                <c:pt idx="3">
                  <c:v>1/20/2022</c:v>
                </c:pt>
                <c:pt idx="4">
                  <c:v>2/1/2022</c:v>
                </c:pt>
                <c:pt idx="5">
                  <c:v>2/12/2022</c:v>
                </c:pt>
                <c:pt idx="6">
                  <c:v>2/15/2022</c:v>
                </c:pt>
                <c:pt idx="7">
                  <c:v>2/20/2022</c:v>
                </c:pt>
                <c:pt idx="8">
                  <c:v>3/3/2022</c:v>
                </c:pt>
                <c:pt idx="9">
                  <c:v>3/10/2022</c:v>
                </c:pt>
                <c:pt idx="10">
                  <c:v>3/14/2022</c:v>
                </c:pt>
                <c:pt idx="11">
                  <c:v>3/19/2022</c:v>
                </c:pt>
                <c:pt idx="12">
                  <c:v>4/2/2022</c:v>
                </c:pt>
                <c:pt idx="13">
                  <c:v>4/11/2022</c:v>
                </c:pt>
                <c:pt idx="14">
                  <c:v>4/15/2022</c:v>
                </c:pt>
                <c:pt idx="15">
                  <c:v>4/20/2022</c:v>
                </c:pt>
                <c:pt idx="16">
                  <c:v>5/2/2022</c:v>
                </c:pt>
                <c:pt idx="17">
                  <c:v>5/10/2022</c:v>
                </c:pt>
                <c:pt idx="18">
                  <c:v>5/16/2022</c:v>
                </c:pt>
                <c:pt idx="19">
                  <c:v>5/21/2022</c:v>
                </c:pt>
                <c:pt idx="20">
                  <c:v>6/1/2022</c:v>
                </c:pt>
                <c:pt idx="21">
                  <c:v>6/12/2022</c:v>
                </c:pt>
                <c:pt idx="22">
                  <c:v>6/15/2022</c:v>
                </c:pt>
                <c:pt idx="23">
                  <c:v>6/20/2022</c:v>
                </c:pt>
                <c:pt idx="24">
                  <c:v>7/3/2022</c:v>
                </c:pt>
                <c:pt idx="25">
                  <c:v>7/10/2022</c:v>
                </c:pt>
                <c:pt idx="26">
                  <c:v>7/14/2022</c:v>
                </c:pt>
                <c:pt idx="27">
                  <c:v>7/19/2022</c:v>
                </c:pt>
                <c:pt idx="28">
                  <c:v>8/5/2022</c:v>
                </c:pt>
                <c:pt idx="29">
                  <c:v>8/11/2022</c:v>
                </c:pt>
                <c:pt idx="30">
                  <c:v>8/15/2022</c:v>
                </c:pt>
                <c:pt idx="31">
                  <c:v>8/20/2022</c:v>
                </c:pt>
                <c:pt idx="32">
                  <c:v>9/2/2022</c:v>
                </c:pt>
                <c:pt idx="33">
                  <c:v>9/10/2022</c:v>
                </c:pt>
                <c:pt idx="34">
                  <c:v>9/16/2022</c:v>
                </c:pt>
                <c:pt idx="35">
                  <c:v>9/21/2022</c:v>
                </c:pt>
                <c:pt idx="36">
                  <c:v>10/1/2022</c:v>
                </c:pt>
                <c:pt idx="37">
                  <c:v>10/12/2022</c:v>
                </c:pt>
                <c:pt idx="38">
                  <c:v>10/15/2022</c:v>
                </c:pt>
                <c:pt idx="39">
                  <c:v>10/20/2022</c:v>
                </c:pt>
                <c:pt idx="40">
                  <c:v>11/2/2022</c:v>
                </c:pt>
                <c:pt idx="41">
                  <c:v>11/11/2022</c:v>
                </c:pt>
                <c:pt idx="42">
                  <c:v>11/15/2022</c:v>
                </c:pt>
                <c:pt idx="43">
                  <c:v>11/20/2022</c:v>
                </c:pt>
                <c:pt idx="44">
                  <c:v>12/1/2022</c:v>
                </c:pt>
                <c:pt idx="45">
                  <c:v>12/10/2022</c:v>
                </c:pt>
                <c:pt idx="46">
                  <c:v>12/14/2022</c:v>
                </c:pt>
                <c:pt idx="47">
                  <c:v>12/19/2022</c:v>
                </c:pt>
              </c:strCache>
            </c:strRef>
          </c:cat>
          <c:val>
            <c:numRef>
              <c:f>KPI_Analysis!$B$36:$B$84</c:f>
              <c:numCache>
                <c:formatCode>General</c:formatCode>
                <c:ptCount val="48"/>
                <c:pt idx="3">
                  <c:v>43000</c:v>
                </c:pt>
                <c:pt idx="7">
                  <c:v>40500</c:v>
                </c:pt>
                <c:pt idx="11">
                  <c:v>40500</c:v>
                </c:pt>
                <c:pt idx="15">
                  <c:v>41250</c:v>
                </c:pt>
                <c:pt idx="19">
                  <c:v>43250</c:v>
                </c:pt>
                <c:pt idx="23">
                  <c:v>47750</c:v>
                </c:pt>
                <c:pt idx="27">
                  <c:v>50000</c:v>
                </c:pt>
                <c:pt idx="31">
                  <c:v>49250</c:v>
                </c:pt>
                <c:pt idx="35">
                  <c:v>48500</c:v>
                </c:pt>
                <c:pt idx="39">
                  <c:v>44750</c:v>
                </c:pt>
                <c:pt idx="43">
                  <c:v>46000</c:v>
                </c:pt>
                <c:pt idx="47">
                  <c:v>50000</c:v>
                </c:pt>
              </c:numCache>
            </c:numRef>
          </c:val>
          <c:smooth val="0"/>
          <c:extLst>
            <c:ext xmlns:c16="http://schemas.microsoft.com/office/drawing/2014/chart" uri="{C3380CC4-5D6E-409C-BE32-E72D297353CC}">
              <c16:uniqueId val="{00000000-45B7-4607-9247-621553AE187A}"/>
            </c:ext>
          </c:extLst>
        </c:ser>
        <c:ser>
          <c:idx val="1"/>
          <c:order val="1"/>
          <c:tx>
            <c:strRef>
              <c:f>KPI_Analysis!$C$34:$C$35</c:f>
              <c:strCache>
                <c:ptCount val="1"/>
                <c:pt idx="0">
                  <c:v>Target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KPI_Analysis!$A$36:$A$84</c:f>
              <c:strCache>
                <c:ptCount val="48"/>
                <c:pt idx="0">
                  <c:v>1/2/2022</c:v>
                </c:pt>
                <c:pt idx="1">
                  <c:v>1/14/2022</c:v>
                </c:pt>
                <c:pt idx="2">
                  <c:v>1/15/2022</c:v>
                </c:pt>
                <c:pt idx="3">
                  <c:v>1/20/2022</c:v>
                </c:pt>
                <c:pt idx="4">
                  <c:v>2/1/2022</c:v>
                </c:pt>
                <c:pt idx="5">
                  <c:v>2/12/2022</c:v>
                </c:pt>
                <c:pt idx="6">
                  <c:v>2/15/2022</c:v>
                </c:pt>
                <c:pt idx="7">
                  <c:v>2/20/2022</c:v>
                </c:pt>
                <c:pt idx="8">
                  <c:v>3/3/2022</c:v>
                </c:pt>
                <c:pt idx="9">
                  <c:v>3/10/2022</c:v>
                </c:pt>
                <c:pt idx="10">
                  <c:v>3/14/2022</c:v>
                </c:pt>
                <c:pt idx="11">
                  <c:v>3/19/2022</c:v>
                </c:pt>
                <c:pt idx="12">
                  <c:v>4/2/2022</c:v>
                </c:pt>
                <c:pt idx="13">
                  <c:v>4/11/2022</c:v>
                </c:pt>
                <c:pt idx="14">
                  <c:v>4/15/2022</c:v>
                </c:pt>
                <c:pt idx="15">
                  <c:v>4/20/2022</c:v>
                </c:pt>
                <c:pt idx="16">
                  <c:v>5/2/2022</c:v>
                </c:pt>
                <c:pt idx="17">
                  <c:v>5/10/2022</c:v>
                </c:pt>
                <c:pt idx="18">
                  <c:v>5/16/2022</c:v>
                </c:pt>
                <c:pt idx="19">
                  <c:v>5/21/2022</c:v>
                </c:pt>
                <c:pt idx="20">
                  <c:v>6/1/2022</c:v>
                </c:pt>
                <c:pt idx="21">
                  <c:v>6/12/2022</c:v>
                </c:pt>
                <c:pt idx="22">
                  <c:v>6/15/2022</c:v>
                </c:pt>
                <c:pt idx="23">
                  <c:v>6/20/2022</c:v>
                </c:pt>
                <c:pt idx="24">
                  <c:v>7/3/2022</c:v>
                </c:pt>
                <c:pt idx="25">
                  <c:v>7/10/2022</c:v>
                </c:pt>
                <c:pt idx="26">
                  <c:v>7/14/2022</c:v>
                </c:pt>
                <c:pt idx="27">
                  <c:v>7/19/2022</c:v>
                </c:pt>
                <c:pt idx="28">
                  <c:v>8/5/2022</c:v>
                </c:pt>
                <c:pt idx="29">
                  <c:v>8/11/2022</c:v>
                </c:pt>
                <c:pt idx="30">
                  <c:v>8/15/2022</c:v>
                </c:pt>
                <c:pt idx="31">
                  <c:v>8/20/2022</c:v>
                </c:pt>
                <c:pt idx="32">
                  <c:v>9/2/2022</c:v>
                </c:pt>
                <c:pt idx="33">
                  <c:v>9/10/2022</c:v>
                </c:pt>
                <c:pt idx="34">
                  <c:v>9/16/2022</c:v>
                </c:pt>
                <c:pt idx="35">
                  <c:v>9/21/2022</c:v>
                </c:pt>
                <c:pt idx="36">
                  <c:v>10/1/2022</c:v>
                </c:pt>
                <c:pt idx="37">
                  <c:v>10/12/2022</c:v>
                </c:pt>
                <c:pt idx="38">
                  <c:v>10/15/2022</c:v>
                </c:pt>
                <c:pt idx="39">
                  <c:v>10/20/2022</c:v>
                </c:pt>
                <c:pt idx="40">
                  <c:v>11/2/2022</c:v>
                </c:pt>
                <c:pt idx="41">
                  <c:v>11/11/2022</c:v>
                </c:pt>
                <c:pt idx="42">
                  <c:v>11/15/2022</c:v>
                </c:pt>
                <c:pt idx="43">
                  <c:v>11/20/2022</c:v>
                </c:pt>
                <c:pt idx="44">
                  <c:v>12/1/2022</c:v>
                </c:pt>
                <c:pt idx="45">
                  <c:v>12/10/2022</c:v>
                </c:pt>
                <c:pt idx="46">
                  <c:v>12/14/2022</c:v>
                </c:pt>
                <c:pt idx="47">
                  <c:v>12/19/2022</c:v>
                </c:pt>
              </c:strCache>
            </c:strRef>
          </c:cat>
          <c:val>
            <c:numRef>
              <c:f>KPI_Analysis!$C$36:$C$84</c:f>
              <c:numCache>
                <c:formatCode>General</c:formatCode>
                <c:ptCount val="48"/>
                <c:pt idx="0">
                  <c:v>44500</c:v>
                </c:pt>
                <c:pt idx="4">
                  <c:v>42000</c:v>
                </c:pt>
                <c:pt idx="8">
                  <c:v>42000</c:v>
                </c:pt>
                <c:pt idx="12">
                  <c:v>44750</c:v>
                </c:pt>
                <c:pt idx="16">
                  <c:v>48750</c:v>
                </c:pt>
                <c:pt idx="20">
                  <c:v>51000</c:v>
                </c:pt>
                <c:pt idx="24">
                  <c:v>53750</c:v>
                </c:pt>
                <c:pt idx="28">
                  <c:v>51500</c:v>
                </c:pt>
                <c:pt idx="32">
                  <c:v>47000</c:v>
                </c:pt>
                <c:pt idx="36">
                  <c:v>42750</c:v>
                </c:pt>
                <c:pt idx="40">
                  <c:v>48000</c:v>
                </c:pt>
                <c:pt idx="44">
                  <c:v>50000</c:v>
                </c:pt>
              </c:numCache>
            </c:numRef>
          </c:val>
          <c:smooth val="0"/>
          <c:extLst>
            <c:ext xmlns:c16="http://schemas.microsoft.com/office/drawing/2014/chart" uri="{C3380CC4-5D6E-409C-BE32-E72D297353CC}">
              <c16:uniqueId val="{00000001-45B7-4607-9247-621553AE187A}"/>
            </c:ext>
          </c:extLst>
        </c:ser>
        <c:ser>
          <c:idx val="2"/>
          <c:order val="2"/>
          <c:tx>
            <c:strRef>
              <c:f>KPI_Analysis!$D$34:$D$35</c:f>
              <c:strCache>
                <c:ptCount val="1"/>
                <c:pt idx="0">
                  <c:v>Walgreens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KPI_Analysis!$A$36:$A$84</c:f>
              <c:strCache>
                <c:ptCount val="48"/>
                <c:pt idx="0">
                  <c:v>1/2/2022</c:v>
                </c:pt>
                <c:pt idx="1">
                  <c:v>1/14/2022</c:v>
                </c:pt>
                <c:pt idx="2">
                  <c:v>1/15/2022</c:v>
                </c:pt>
                <c:pt idx="3">
                  <c:v>1/20/2022</c:v>
                </c:pt>
                <c:pt idx="4">
                  <c:v>2/1/2022</c:v>
                </c:pt>
                <c:pt idx="5">
                  <c:v>2/12/2022</c:v>
                </c:pt>
                <c:pt idx="6">
                  <c:v>2/15/2022</c:v>
                </c:pt>
                <c:pt idx="7">
                  <c:v>2/20/2022</c:v>
                </c:pt>
                <c:pt idx="8">
                  <c:v>3/3/2022</c:v>
                </c:pt>
                <c:pt idx="9">
                  <c:v>3/10/2022</c:v>
                </c:pt>
                <c:pt idx="10">
                  <c:v>3/14/2022</c:v>
                </c:pt>
                <c:pt idx="11">
                  <c:v>3/19/2022</c:v>
                </c:pt>
                <c:pt idx="12">
                  <c:v>4/2/2022</c:v>
                </c:pt>
                <c:pt idx="13">
                  <c:v>4/11/2022</c:v>
                </c:pt>
                <c:pt idx="14">
                  <c:v>4/15/2022</c:v>
                </c:pt>
                <c:pt idx="15">
                  <c:v>4/20/2022</c:v>
                </c:pt>
                <c:pt idx="16">
                  <c:v>5/2/2022</c:v>
                </c:pt>
                <c:pt idx="17">
                  <c:v>5/10/2022</c:v>
                </c:pt>
                <c:pt idx="18">
                  <c:v>5/16/2022</c:v>
                </c:pt>
                <c:pt idx="19">
                  <c:v>5/21/2022</c:v>
                </c:pt>
                <c:pt idx="20">
                  <c:v>6/1/2022</c:v>
                </c:pt>
                <c:pt idx="21">
                  <c:v>6/12/2022</c:v>
                </c:pt>
                <c:pt idx="22">
                  <c:v>6/15/2022</c:v>
                </c:pt>
                <c:pt idx="23">
                  <c:v>6/20/2022</c:v>
                </c:pt>
                <c:pt idx="24">
                  <c:v>7/3/2022</c:v>
                </c:pt>
                <c:pt idx="25">
                  <c:v>7/10/2022</c:v>
                </c:pt>
                <c:pt idx="26">
                  <c:v>7/14/2022</c:v>
                </c:pt>
                <c:pt idx="27">
                  <c:v>7/19/2022</c:v>
                </c:pt>
                <c:pt idx="28">
                  <c:v>8/5/2022</c:v>
                </c:pt>
                <c:pt idx="29">
                  <c:v>8/11/2022</c:v>
                </c:pt>
                <c:pt idx="30">
                  <c:v>8/15/2022</c:v>
                </c:pt>
                <c:pt idx="31">
                  <c:v>8/20/2022</c:v>
                </c:pt>
                <c:pt idx="32">
                  <c:v>9/2/2022</c:v>
                </c:pt>
                <c:pt idx="33">
                  <c:v>9/10/2022</c:v>
                </c:pt>
                <c:pt idx="34">
                  <c:v>9/16/2022</c:v>
                </c:pt>
                <c:pt idx="35">
                  <c:v>9/21/2022</c:v>
                </c:pt>
                <c:pt idx="36">
                  <c:v>10/1/2022</c:v>
                </c:pt>
                <c:pt idx="37">
                  <c:v>10/12/2022</c:v>
                </c:pt>
                <c:pt idx="38">
                  <c:v>10/15/2022</c:v>
                </c:pt>
                <c:pt idx="39">
                  <c:v>10/20/2022</c:v>
                </c:pt>
                <c:pt idx="40">
                  <c:v>11/2/2022</c:v>
                </c:pt>
                <c:pt idx="41">
                  <c:v>11/11/2022</c:v>
                </c:pt>
                <c:pt idx="42">
                  <c:v>11/15/2022</c:v>
                </c:pt>
                <c:pt idx="43">
                  <c:v>11/20/2022</c:v>
                </c:pt>
                <c:pt idx="44">
                  <c:v>12/1/2022</c:v>
                </c:pt>
                <c:pt idx="45">
                  <c:v>12/10/2022</c:v>
                </c:pt>
                <c:pt idx="46">
                  <c:v>12/14/2022</c:v>
                </c:pt>
                <c:pt idx="47">
                  <c:v>12/19/2022</c:v>
                </c:pt>
              </c:strCache>
            </c:strRef>
          </c:cat>
          <c:val>
            <c:numRef>
              <c:f>KPI_Analysis!$D$36:$D$84</c:f>
              <c:numCache>
                <c:formatCode>General</c:formatCode>
                <c:ptCount val="48"/>
                <c:pt idx="2">
                  <c:v>38500</c:v>
                </c:pt>
                <c:pt idx="6">
                  <c:v>37000</c:v>
                </c:pt>
                <c:pt idx="10">
                  <c:v>37000</c:v>
                </c:pt>
                <c:pt idx="14">
                  <c:v>35750</c:v>
                </c:pt>
                <c:pt idx="18">
                  <c:v>37250</c:v>
                </c:pt>
                <c:pt idx="22">
                  <c:v>43250</c:v>
                </c:pt>
                <c:pt idx="26">
                  <c:v>45500</c:v>
                </c:pt>
                <c:pt idx="30">
                  <c:v>44750</c:v>
                </c:pt>
                <c:pt idx="34">
                  <c:v>44000</c:v>
                </c:pt>
                <c:pt idx="38">
                  <c:v>41250</c:v>
                </c:pt>
                <c:pt idx="42">
                  <c:v>42750</c:v>
                </c:pt>
                <c:pt idx="46">
                  <c:v>45500</c:v>
                </c:pt>
              </c:numCache>
            </c:numRef>
          </c:val>
          <c:smooth val="0"/>
          <c:extLst>
            <c:ext xmlns:c16="http://schemas.microsoft.com/office/drawing/2014/chart" uri="{C3380CC4-5D6E-409C-BE32-E72D297353CC}">
              <c16:uniqueId val="{00000002-45B7-4607-9247-621553AE187A}"/>
            </c:ext>
          </c:extLst>
        </c:ser>
        <c:ser>
          <c:idx val="3"/>
          <c:order val="3"/>
          <c:tx>
            <c:strRef>
              <c:f>KPI_Analysis!$E$34:$E$35</c:f>
              <c:strCache>
                <c:ptCount val="1"/>
                <c:pt idx="0">
                  <c:v>Walmart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KPI_Analysis!$A$36:$A$84</c:f>
              <c:strCache>
                <c:ptCount val="48"/>
                <c:pt idx="0">
                  <c:v>1/2/2022</c:v>
                </c:pt>
                <c:pt idx="1">
                  <c:v>1/14/2022</c:v>
                </c:pt>
                <c:pt idx="2">
                  <c:v>1/15/2022</c:v>
                </c:pt>
                <c:pt idx="3">
                  <c:v>1/20/2022</c:v>
                </c:pt>
                <c:pt idx="4">
                  <c:v>2/1/2022</c:v>
                </c:pt>
                <c:pt idx="5">
                  <c:v>2/12/2022</c:v>
                </c:pt>
                <c:pt idx="6">
                  <c:v>2/15/2022</c:v>
                </c:pt>
                <c:pt idx="7">
                  <c:v>2/20/2022</c:v>
                </c:pt>
                <c:pt idx="8">
                  <c:v>3/3/2022</c:v>
                </c:pt>
                <c:pt idx="9">
                  <c:v>3/10/2022</c:v>
                </c:pt>
                <c:pt idx="10">
                  <c:v>3/14/2022</c:v>
                </c:pt>
                <c:pt idx="11">
                  <c:v>3/19/2022</c:v>
                </c:pt>
                <c:pt idx="12">
                  <c:v>4/2/2022</c:v>
                </c:pt>
                <c:pt idx="13">
                  <c:v>4/11/2022</c:v>
                </c:pt>
                <c:pt idx="14">
                  <c:v>4/15/2022</c:v>
                </c:pt>
                <c:pt idx="15">
                  <c:v>4/20/2022</c:v>
                </c:pt>
                <c:pt idx="16">
                  <c:v>5/2/2022</c:v>
                </c:pt>
                <c:pt idx="17">
                  <c:v>5/10/2022</c:v>
                </c:pt>
                <c:pt idx="18">
                  <c:v>5/16/2022</c:v>
                </c:pt>
                <c:pt idx="19">
                  <c:v>5/21/2022</c:v>
                </c:pt>
                <c:pt idx="20">
                  <c:v>6/1/2022</c:v>
                </c:pt>
                <c:pt idx="21">
                  <c:v>6/12/2022</c:v>
                </c:pt>
                <c:pt idx="22">
                  <c:v>6/15/2022</c:v>
                </c:pt>
                <c:pt idx="23">
                  <c:v>6/20/2022</c:v>
                </c:pt>
                <c:pt idx="24">
                  <c:v>7/3/2022</c:v>
                </c:pt>
                <c:pt idx="25">
                  <c:v>7/10/2022</c:v>
                </c:pt>
                <c:pt idx="26">
                  <c:v>7/14/2022</c:v>
                </c:pt>
                <c:pt idx="27">
                  <c:v>7/19/2022</c:v>
                </c:pt>
                <c:pt idx="28">
                  <c:v>8/5/2022</c:v>
                </c:pt>
                <c:pt idx="29">
                  <c:v>8/11/2022</c:v>
                </c:pt>
                <c:pt idx="30">
                  <c:v>8/15/2022</c:v>
                </c:pt>
                <c:pt idx="31">
                  <c:v>8/20/2022</c:v>
                </c:pt>
                <c:pt idx="32">
                  <c:v>9/2/2022</c:v>
                </c:pt>
                <c:pt idx="33">
                  <c:v>9/10/2022</c:v>
                </c:pt>
                <c:pt idx="34">
                  <c:v>9/16/2022</c:v>
                </c:pt>
                <c:pt idx="35">
                  <c:v>9/21/2022</c:v>
                </c:pt>
                <c:pt idx="36">
                  <c:v>10/1/2022</c:v>
                </c:pt>
                <c:pt idx="37">
                  <c:v>10/12/2022</c:v>
                </c:pt>
                <c:pt idx="38">
                  <c:v>10/15/2022</c:v>
                </c:pt>
                <c:pt idx="39">
                  <c:v>10/20/2022</c:v>
                </c:pt>
                <c:pt idx="40">
                  <c:v>11/2/2022</c:v>
                </c:pt>
                <c:pt idx="41">
                  <c:v>11/11/2022</c:v>
                </c:pt>
                <c:pt idx="42">
                  <c:v>11/15/2022</c:v>
                </c:pt>
                <c:pt idx="43">
                  <c:v>11/20/2022</c:v>
                </c:pt>
                <c:pt idx="44">
                  <c:v>12/1/2022</c:v>
                </c:pt>
                <c:pt idx="45">
                  <c:v>12/10/2022</c:v>
                </c:pt>
                <c:pt idx="46">
                  <c:v>12/14/2022</c:v>
                </c:pt>
                <c:pt idx="47">
                  <c:v>12/19/2022</c:v>
                </c:pt>
              </c:strCache>
            </c:strRef>
          </c:cat>
          <c:val>
            <c:numRef>
              <c:f>KPI_Analysis!$E$36:$E$84</c:f>
              <c:numCache>
                <c:formatCode>General</c:formatCode>
                <c:ptCount val="48"/>
                <c:pt idx="1">
                  <c:v>59500</c:v>
                </c:pt>
                <c:pt idx="5">
                  <c:v>58250</c:v>
                </c:pt>
                <c:pt idx="9">
                  <c:v>56950</c:v>
                </c:pt>
                <c:pt idx="13">
                  <c:v>56000</c:v>
                </c:pt>
                <c:pt idx="17">
                  <c:v>57700</c:v>
                </c:pt>
                <c:pt idx="21">
                  <c:v>60250</c:v>
                </c:pt>
                <c:pt idx="25">
                  <c:v>61750</c:v>
                </c:pt>
                <c:pt idx="29">
                  <c:v>61250</c:v>
                </c:pt>
                <c:pt idx="33">
                  <c:v>59250</c:v>
                </c:pt>
                <c:pt idx="37">
                  <c:v>58250</c:v>
                </c:pt>
                <c:pt idx="41">
                  <c:v>57950</c:v>
                </c:pt>
                <c:pt idx="45">
                  <c:v>59500</c:v>
                </c:pt>
              </c:numCache>
            </c:numRef>
          </c:val>
          <c:smooth val="0"/>
          <c:extLst>
            <c:ext xmlns:c16="http://schemas.microsoft.com/office/drawing/2014/chart" uri="{C3380CC4-5D6E-409C-BE32-E72D297353CC}">
              <c16:uniqueId val="{00000003-45B7-4607-9247-621553AE187A}"/>
            </c:ext>
          </c:extLst>
        </c:ser>
        <c:dLbls>
          <c:showLegendKey val="0"/>
          <c:showVal val="0"/>
          <c:showCatName val="0"/>
          <c:showSerName val="0"/>
          <c:showPercent val="0"/>
          <c:showBubbleSize val="0"/>
        </c:dLbls>
        <c:marker val="1"/>
        <c:smooth val="0"/>
        <c:axId val="583864448"/>
        <c:axId val="583864120"/>
      </c:lineChart>
      <c:catAx>
        <c:axId val="583864448"/>
        <c:scaling>
          <c:orientation val="minMax"/>
        </c:scaling>
        <c:delete val="1"/>
        <c:axPos val="b"/>
        <c:numFmt formatCode="General" sourceLinked="1"/>
        <c:majorTickMark val="none"/>
        <c:minorTickMark val="none"/>
        <c:tickLblPos val="nextTo"/>
        <c:crossAx val="583864120"/>
        <c:crosses val="autoZero"/>
        <c:auto val="1"/>
        <c:lblAlgn val="ctr"/>
        <c:lblOffset val="100"/>
        <c:noMultiLvlLbl val="0"/>
      </c:catAx>
      <c:valAx>
        <c:axId val="583864120"/>
        <c:scaling>
          <c:orientation val="minMax"/>
        </c:scaling>
        <c:delete val="1"/>
        <c:axPos val="l"/>
        <c:numFmt formatCode="General" sourceLinked="1"/>
        <c:majorTickMark val="none"/>
        <c:minorTickMark val="none"/>
        <c:tickLblPos val="nextTo"/>
        <c:crossAx val="5838644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[KPI.xlsx]KPI_Analysis!PivotTable9</c:name>
    <c:fmtId val="1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rgbClr val="3399FF"/>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tx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6048095668350643"/>
          <c:y val="8.6274509803921567E-2"/>
          <c:w val="0.58006860295617002"/>
          <c:h val="0.82745098039215681"/>
        </c:manualLayout>
      </c:layout>
      <c:doughnutChart>
        <c:varyColors val="1"/>
        <c:ser>
          <c:idx val="0"/>
          <c:order val="0"/>
          <c:tx>
            <c:strRef>
              <c:f>KPI_Analysis!$L$3</c:f>
              <c:strCache>
                <c:ptCount val="1"/>
                <c:pt idx="0">
                  <c:v>Total</c:v>
                </c:pt>
              </c:strCache>
            </c:strRef>
          </c:tx>
          <c:dPt>
            <c:idx val="0"/>
            <c:bubble3D val="0"/>
            <c:spPr>
              <a:solidFill>
                <a:srgbClr val="3399FF"/>
              </a:solidFill>
              <a:ln w="19050">
                <a:solidFill>
                  <a:schemeClr val="lt1"/>
                </a:solidFill>
              </a:ln>
              <a:effectLst/>
            </c:spPr>
            <c:extLst>
              <c:ext xmlns:c16="http://schemas.microsoft.com/office/drawing/2014/chart" uri="{C3380CC4-5D6E-409C-BE32-E72D297353CC}">
                <c16:uniqueId val="{00000001-01A4-40B9-8575-E9F4B305B5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A4-40B9-8575-E9F4B305B51B}"/>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01A4-40B9-8575-E9F4B305B5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A4-40B9-8575-E9F4B305B51B}"/>
              </c:ext>
            </c:extLst>
          </c:dPt>
          <c:cat>
            <c:strRef>
              <c:f>KPI_Analysis!$K$4:$K$8</c:f>
              <c:strCache>
                <c:ptCount val="4"/>
                <c:pt idx="0">
                  <c:v>Costco</c:v>
                </c:pt>
                <c:pt idx="1">
                  <c:v>Target</c:v>
                </c:pt>
                <c:pt idx="2">
                  <c:v>Walgreens</c:v>
                </c:pt>
                <c:pt idx="3">
                  <c:v>Walmart</c:v>
                </c:pt>
              </c:strCache>
            </c:strRef>
          </c:cat>
          <c:val>
            <c:numRef>
              <c:f>KPI_Analysis!$L$4:$L$8</c:f>
              <c:numCache>
                <c:formatCode>0.0</c:formatCode>
                <c:ptCount val="4"/>
                <c:pt idx="0">
                  <c:v>331750</c:v>
                </c:pt>
                <c:pt idx="1">
                  <c:v>238850</c:v>
                </c:pt>
                <c:pt idx="2">
                  <c:v>250650</c:v>
                </c:pt>
                <c:pt idx="3">
                  <c:v>391767.5</c:v>
                </c:pt>
              </c:numCache>
            </c:numRef>
          </c:val>
          <c:extLst>
            <c:ext xmlns:c16="http://schemas.microsoft.com/office/drawing/2014/chart" uri="{C3380CC4-5D6E-409C-BE32-E72D297353CC}">
              <c16:uniqueId val="{00000008-01A4-40B9-8575-E9F4B305B51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[KPI.xlsx]KPI_Analysis!PivotTable5</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tx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1.3309665188629692E-2"/>
          <c:y val="0"/>
          <c:w val="0.98523798223852166"/>
          <c:h val="0.59752592011971339"/>
        </c:manualLayout>
      </c:layout>
      <c:barChart>
        <c:barDir val="col"/>
        <c:grouping val="clustered"/>
        <c:varyColors val="0"/>
        <c:ser>
          <c:idx val="0"/>
          <c:order val="0"/>
          <c:tx>
            <c:strRef>
              <c:f>KPI_Analysis!$B$91:$B$92</c:f>
              <c:strCache>
                <c:ptCount val="1"/>
                <c:pt idx="0">
                  <c:v>Costco</c:v>
                </c:pt>
              </c:strCache>
            </c:strRef>
          </c:tx>
          <c:spPr>
            <a:solidFill>
              <a:schemeClr val="accent1"/>
            </a:solidFill>
            <a:ln>
              <a:noFill/>
            </a:ln>
            <a:effectLst/>
          </c:spPr>
          <c:invertIfNegative val="0"/>
          <c:cat>
            <c:strRef>
              <c:f>KPI_Analysis!$A$93:$A$96</c:f>
              <c:strCache>
                <c:ptCount val="3"/>
                <c:pt idx="0">
                  <c:v>Northeast--New York</c:v>
                </c:pt>
                <c:pt idx="1">
                  <c:v>South--Texas</c:v>
                </c:pt>
                <c:pt idx="2">
                  <c:v>West--California</c:v>
                </c:pt>
              </c:strCache>
            </c:strRef>
          </c:cat>
          <c:val>
            <c:numRef>
              <c:f>KPI_Analysis!$B$93:$B$96</c:f>
              <c:numCache>
                <c:formatCode>General</c:formatCode>
                <c:ptCount val="3"/>
                <c:pt idx="2">
                  <c:v>544750</c:v>
                </c:pt>
              </c:numCache>
            </c:numRef>
          </c:val>
          <c:extLst>
            <c:ext xmlns:c16="http://schemas.microsoft.com/office/drawing/2014/chart" uri="{C3380CC4-5D6E-409C-BE32-E72D297353CC}">
              <c16:uniqueId val="{00000000-BACD-420F-9965-2797F2B84306}"/>
            </c:ext>
          </c:extLst>
        </c:ser>
        <c:ser>
          <c:idx val="1"/>
          <c:order val="1"/>
          <c:tx>
            <c:strRef>
              <c:f>KPI_Analysis!$C$91:$C$92</c:f>
              <c:strCache>
                <c:ptCount val="1"/>
                <c:pt idx="0">
                  <c:v>Target</c:v>
                </c:pt>
              </c:strCache>
            </c:strRef>
          </c:tx>
          <c:spPr>
            <a:solidFill>
              <a:schemeClr val="accent2"/>
            </a:solidFill>
            <a:ln>
              <a:noFill/>
            </a:ln>
            <a:effectLst/>
          </c:spPr>
          <c:invertIfNegative val="0"/>
          <c:cat>
            <c:strRef>
              <c:f>KPI_Analysis!$A$93:$A$96</c:f>
              <c:strCache>
                <c:ptCount val="3"/>
                <c:pt idx="0">
                  <c:v>Northeast--New York</c:v>
                </c:pt>
                <c:pt idx="1">
                  <c:v>South--Texas</c:v>
                </c:pt>
                <c:pt idx="2">
                  <c:v>West--California</c:v>
                </c:pt>
              </c:strCache>
            </c:strRef>
          </c:cat>
          <c:val>
            <c:numRef>
              <c:f>KPI_Analysis!$C$93:$C$96</c:f>
              <c:numCache>
                <c:formatCode>General</c:formatCode>
                <c:ptCount val="3"/>
                <c:pt idx="1">
                  <c:v>566000</c:v>
                </c:pt>
              </c:numCache>
            </c:numRef>
          </c:val>
          <c:extLst>
            <c:ext xmlns:c16="http://schemas.microsoft.com/office/drawing/2014/chart" uri="{C3380CC4-5D6E-409C-BE32-E72D297353CC}">
              <c16:uniqueId val="{00000000-FF41-481F-A6E1-D5FEB08E7125}"/>
            </c:ext>
          </c:extLst>
        </c:ser>
        <c:ser>
          <c:idx val="2"/>
          <c:order val="2"/>
          <c:tx>
            <c:strRef>
              <c:f>KPI_Analysis!$D$91:$D$92</c:f>
              <c:strCache>
                <c:ptCount val="1"/>
                <c:pt idx="0">
                  <c:v>Walgreens</c:v>
                </c:pt>
              </c:strCache>
            </c:strRef>
          </c:tx>
          <c:spPr>
            <a:solidFill>
              <a:schemeClr val="tx1"/>
            </a:solidFill>
            <a:ln>
              <a:noFill/>
            </a:ln>
            <a:effectLst/>
          </c:spPr>
          <c:invertIfNegative val="0"/>
          <c:cat>
            <c:strRef>
              <c:f>KPI_Analysis!$A$93:$A$96</c:f>
              <c:strCache>
                <c:ptCount val="3"/>
                <c:pt idx="0">
                  <c:v>Northeast--New York</c:v>
                </c:pt>
                <c:pt idx="1">
                  <c:v>South--Texas</c:v>
                </c:pt>
                <c:pt idx="2">
                  <c:v>West--California</c:v>
                </c:pt>
              </c:strCache>
            </c:strRef>
          </c:cat>
          <c:val>
            <c:numRef>
              <c:f>KPI_Analysis!$D$93:$D$96</c:f>
              <c:numCache>
                <c:formatCode>General</c:formatCode>
                <c:ptCount val="3"/>
                <c:pt idx="2">
                  <c:v>492500</c:v>
                </c:pt>
              </c:numCache>
            </c:numRef>
          </c:val>
          <c:extLst>
            <c:ext xmlns:c16="http://schemas.microsoft.com/office/drawing/2014/chart" uri="{C3380CC4-5D6E-409C-BE32-E72D297353CC}">
              <c16:uniqueId val="{00000001-FF41-481F-A6E1-D5FEB08E7125}"/>
            </c:ext>
          </c:extLst>
        </c:ser>
        <c:ser>
          <c:idx val="3"/>
          <c:order val="3"/>
          <c:tx>
            <c:strRef>
              <c:f>KPI_Analysis!$E$91:$E$92</c:f>
              <c:strCache>
                <c:ptCount val="1"/>
                <c:pt idx="0">
                  <c:v>Walmart</c:v>
                </c:pt>
              </c:strCache>
            </c:strRef>
          </c:tx>
          <c:spPr>
            <a:solidFill>
              <a:schemeClr val="accent4"/>
            </a:solidFill>
            <a:ln>
              <a:noFill/>
            </a:ln>
            <a:effectLst/>
          </c:spPr>
          <c:invertIfNegative val="0"/>
          <c:cat>
            <c:strRef>
              <c:f>KPI_Analysis!$A$93:$A$96</c:f>
              <c:strCache>
                <c:ptCount val="3"/>
                <c:pt idx="0">
                  <c:v>Northeast--New York</c:v>
                </c:pt>
                <c:pt idx="1">
                  <c:v>South--Texas</c:v>
                </c:pt>
                <c:pt idx="2">
                  <c:v>West--California</c:v>
                </c:pt>
              </c:strCache>
            </c:strRef>
          </c:cat>
          <c:val>
            <c:numRef>
              <c:f>KPI_Analysis!$E$93:$E$96</c:f>
              <c:numCache>
                <c:formatCode>General</c:formatCode>
                <c:ptCount val="3"/>
                <c:pt idx="0">
                  <c:v>706600</c:v>
                </c:pt>
              </c:numCache>
            </c:numRef>
          </c:val>
          <c:extLst>
            <c:ext xmlns:c16="http://schemas.microsoft.com/office/drawing/2014/chart" uri="{C3380CC4-5D6E-409C-BE32-E72D297353CC}">
              <c16:uniqueId val="{00000002-FF41-481F-A6E1-D5FEB08E7125}"/>
            </c:ext>
          </c:extLst>
        </c:ser>
        <c:dLbls>
          <c:showLegendKey val="0"/>
          <c:showVal val="0"/>
          <c:showCatName val="0"/>
          <c:showSerName val="0"/>
          <c:showPercent val="0"/>
          <c:showBubbleSize val="0"/>
        </c:dLbls>
        <c:gapWidth val="219"/>
        <c:overlap val="-27"/>
        <c:axId val="694217904"/>
        <c:axId val="694210360"/>
      </c:barChart>
      <c:catAx>
        <c:axId val="69421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10360"/>
        <c:crosses val="autoZero"/>
        <c:auto val="1"/>
        <c:lblAlgn val="ctr"/>
        <c:lblOffset val="100"/>
        <c:noMultiLvlLbl val="0"/>
      </c:catAx>
      <c:valAx>
        <c:axId val="694210360"/>
        <c:scaling>
          <c:orientation val="minMax"/>
        </c:scaling>
        <c:delete val="1"/>
        <c:axPos val="l"/>
        <c:numFmt formatCode="General" sourceLinked="1"/>
        <c:majorTickMark val="none"/>
        <c:minorTickMark val="none"/>
        <c:tickLblPos val="nextTo"/>
        <c:crossAx val="694217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[KPI.xlsx]KPI_Analysis!PivotTable6</c:name>
    <c:fmtId val="1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manualLayout>
          <c:layoutTarget val="inner"/>
          <c:xMode val="edge"/>
          <c:yMode val="edge"/>
          <c:x val="0.24918652158671262"/>
          <c:y val="6.2947067238912732E-2"/>
          <c:w val="0.68550028865728785"/>
          <c:h val="0.80430175841753682"/>
        </c:manualLayout>
      </c:layout>
      <c:barChart>
        <c:barDir val="bar"/>
        <c:grouping val="clustered"/>
        <c:varyColors val="0"/>
        <c:ser>
          <c:idx val="0"/>
          <c:order val="0"/>
          <c:tx>
            <c:strRef>
              <c:f>KPI_Analysis!$B$102:$B$103</c:f>
              <c:strCache>
                <c:ptCount val="1"/>
                <c:pt idx="0">
                  <c:v>Coca-Cola</c:v>
                </c:pt>
              </c:strCache>
            </c:strRef>
          </c:tx>
          <c:spPr>
            <a:solidFill>
              <a:schemeClr val="accent1"/>
            </a:solidFill>
            <a:ln>
              <a:noFill/>
            </a:ln>
            <a:effectLst/>
          </c:spPr>
          <c:invertIfNegative val="0"/>
          <c:cat>
            <c:strRef>
              <c:f>KPI_Analysis!$A$104:$A$107</c:f>
              <c:strCache>
                <c:ptCount val="3"/>
                <c:pt idx="0">
                  <c:v>Northeast--New York</c:v>
                </c:pt>
                <c:pt idx="1">
                  <c:v>South--Texas</c:v>
                </c:pt>
                <c:pt idx="2">
                  <c:v>West--California</c:v>
                </c:pt>
              </c:strCache>
            </c:strRef>
          </c:cat>
          <c:val>
            <c:numRef>
              <c:f>KPI_Analysis!$B$104:$B$107</c:f>
              <c:numCache>
                <c:formatCode>General</c:formatCode>
                <c:ptCount val="3"/>
                <c:pt idx="0">
                  <c:v>145900</c:v>
                </c:pt>
                <c:pt idx="1">
                  <c:v>107750</c:v>
                </c:pt>
                <c:pt idx="2">
                  <c:v>208250</c:v>
                </c:pt>
              </c:numCache>
            </c:numRef>
          </c:val>
          <c:extLst>
            <c:ext xmlns:c16="http://schemas.microsoft.com/office/drawing/2014/chart" uri="{C3380CC4-5D6E-409C-BE32-E72D297353CC}">
              <c16:uniqueId val="{00000000-42D0-410F-B675-3E74432B345F}"/>
            </c:ext>
          </c:extLst>
        </c:ser>
        <c:ser>
          <c:idx val="1"/>
          <c:order val="1"/>
          <c:tx>
            <c:strRef>
              <c:f>KPI_Analysis!$C$102:$C$103</c:f>
              <c:strCache>
                <c:ptCount val="1"/>
                <c:pt idx="0">
                  <c:v>Dasani Water</c:v>
                </c:pt>
              </c:strCache>
            </c:strRef>
          </c:tx>
          <c:spPr>
            <a:solidFill>
              <a:schemeClr val="accent2"/>
            </a:solidFill>
            <a:ln>
              <a:noFill/>
            </a:ln>
            <a:effectLst/>
          </c:spPr>
          <c:invertIfNegative val="0"/>
          <c:cat>
            <c:strRef>
              <c:f>KPI_Analysis!$A$104:$A$107</c:f>
              <c:strCache>
                <c:ptCount val="3"/>
                <c:pt idx="0">
                  <c:v>Northeast--New York</c:v>
                </c:pt>
                <c:pt idx="1">
                  <c:v>South--Texas</c:v>
                </c:pt>
                <c:pt idx="2">
                  <c:v>West--California</c:v>
                </c:pt>
              </c:strCache>
            </c:strRef>
          </c:cat>
          <c:val>
            <c:numRef>
              <c:f>KPI_Analysis!$C$104:$C$107</c:f>
              <c:numCache>
                <c:formatCode>General</c:formatCode>
                <c:ptCount val="3"/>
                <c:pt idx="0">
                  <c:v>121000</c:v>
                </c:pt>
                <c:pt idx="1">
                  <c:v>100250</c:v>
                </c:pt>
                <c:pt idx="2">
                  <c:v>171500</c:v>
                </c:pt>
              </c:numCache>
            </c:numRef>
          </c:val>
          <c:extLst>
            <c:ext xmlns:c16="http://schemas.microsoft.com/office/drawing/2014/chart" uri="{C3380CC4-5D6E-409C-BE32-E72D297353CC}">
              <c16:uniqueId val="{0000000A-70F7-4B7F-A9B8-73D5339B6F12}"/>
            </c:ext>
          </c:extLst>
        </c:ser>
        <c:ser>
          <c:idx val="2"/>
          <c:order val="2"/>
          <c:tx>
            <c:strRef>
              <c:f>KPI_Analysis!$D$102:$D$103</c:f>
              <c:strCache>
                <c:ptCount val="1"/>
                <c:pt idx="0">
                  <c:v>Diet Coke</c:v>
                </c:pt>
              </c:strCache>
            </c:strRef>
          </c:tx>
          <c:spPr>
            <a:solidFill>
              <a:schemeClr val="accent3"/>
            </a:solidFill>
            <a:ln>
              <a:noFill/>
            </a:ln>
            <a:effectLst/>
          </c:spPr>
          <c:invertIfNegative val="0"/>
          <c:cat>
            <c:strRef>
              <c:f>KPI_Analysis!$A$104:$A$107</c:f>
              <c:strCache>
                <c:ptCount val="3"/>
                <c:pt idx="0">
                  <c:v>Northeast--New York</c:v>
                </c:pt>
                <c:pt idx="1">
                  <c:v>South--Texas</c:v>
                </c:pt>
                <c:pt idx="2">
                  <c:v>West--California</c:v>
                </c:pt>
              </c:strCache>
            </c:strRef>
          </c:cat>
          <c:val>
            <c:numRef>
              <c:f>KPI_Analysis!$D$104:$D$107</c:f>
              <c:numCache>
                <c:formatCode>General</c:formatCode>
                <c:ptCount val="3"/>
                <c:pt idx="0">
                  <c:v>116750</c:v>
                </c:pt>
                <c:pt idx="1">
                  <c:v>107750</c:v>
                </c:pt>
                <c:pt idx="2">
                  <c:v>189250</c:v>
                </c:pt>
              </c:numCache>
            </c:numRef>
          </c:val>
          <c:extLst>
            <c:ext xmlns:c16="http://schemas.microsoft.com/office/drawing/2014/chart" uri="{C3380CC4-5D6E-409C-BE32-E72D297353CC}">
              <c16:uniqueId val="{0000000B-70F7-4B7F-A9B8-73D5339B6F12}"/>
            </c:ext>
          </c:extLst>
        </c:ser>
        <c:ser>
          <c:idx val="3"/>
          <c:order val="3"/>
          <c:tx>
            <c:strRef>
              <c:f>KPI_Analysis!$E$102:$E$103</c:f>
              <c:strCache>
                <c:ptCount val="1"/>
                <c:pt idx="0">
                  <c:v>Fanta</c:v>
                </c:pt>
              </c:strCache>
            </c:strRef>
          </c:tx>
          <c:spPr>
            <a:solidFill>
              <a:schemeClr val="accent4"/>
            </a:solidFill>
            <a:ln>
              <a:noFill/>
            </a:ln>
            <a:effectLst/>
          </c:spPr>
          <c:invertIfNegative val="0"/>
          <c:cat>
            <c:strRef>
              <c:f>KPI_Analysis!$A$104:$A$107</c:f>
              <c:strCache>
                <c:ptCount val="3"/>
                <c:pt idx="0">
                  <c:v>Northeast--New York</c:v>
                </c:pt>
                <c:pt idx="1">
                  <c:v>South--Texas</c:v>
                </c:pt>
                <c:pt idx="2">
                  <c:v>West--California</c:v>
                </c:pt>
              </c:strCache>
            </c:strRef>
          </c:cat>
          <c:val>
            <c:numRef>
              <c:f>KPI_Analysis!$E$104:$E$107</c:f>
              <c:numCache>
                <c:formatCode>General</c:formatCode>
                <c:ptCount val="3"/>
                <c:pt idx="0">
                  <c:v>104500</c:v>
                </c:pt>
                <c:pt idx="1">
                  <c:v>79500</c:v>
                </c:pt>
                <c:pt idx="2">
                  <c:v>154000</c:v>
                </c:pt>
              </c:numCache>
            </c:numRef>
          </c:val>
          <c:extLst>
            <c:ext xmlns:c16="http://schemas.microsoft.com/office/drawing/2014/chart" uri="{C3380CC4-5D6E-409C-BE32-E72D297353CC}">
              <c16:uniqueId val="{0000000C-70F7-4B7F-A9B8-73D5339B6F12}"/>
            </c:ext>
          </c:extLst>
        </c:ser>
        <c:ser>
          <c:idx val="4"/>
          <c:order val="4"/>
          <c:tx>
            <c:strRef>
              <c:f>KPI_Analysis!$F$102:$F$103</c:f>
              <c:strCache>
                <c:ptCount val="1"/>
                <c:pt idx="0">
                  <c:v>Powerade</c:v>
                </c:pt>
              </c:strCache>
            </c:strRef>
          </c:tx>
          <c:spPr>
            <a:solidFill>
              <a:schemeClr val="accent5"/>
            </a:solidFill>
            <a:ln>
              <a:noFill/>
            </a:ln>
            <a:effectLst/>
          </c:spPr>
          <c:invertIfNegative val="0"/>
          <c:cat>
            <c:strRef>
              <c:f>KPI_Analysis!$A$104:$A$107</c:f>
              <c:strCache>
                <c:ptCount val="3"/>
                <c:pt idx="0">
                  <c:v>Northeast--New York</c:v>
                </c:pt>
                <c:pt idx="1">
                  <c:v>South--Texas</c:v>
                </c:pt>
                <c:pt idx="2">
                  <c:v>West--California</c:v>
                </c:pt>
              </c:strCache>
            </c:strRef>
          </c:cat>
          <c:val>
            <c:numRef>
              <c:f>KPI_Analysis!$F$104:$F$107</c:f>
              <c:numCache>
                <c:formatCode>General</c:formatCode>
                <c:ptCount val="3"/>
                <c:pt idx="0">
                  <c:v>106250</c:v>
                </c:pt>
                <c:pt idx="1">
                  <c:v>71750</c:v>
                </c:pt>
                <c:pt idx="2">
                  <c:v>140750</c:v>
                </c:pt>
              </c:numCache>
            </c:numRef>
          </c:val>
          <c:extLst>
            <c:ext xmlns:c16="http://schemas.microsoft.com/office/drawing/2014/chart" uri="{C3380CC4-5D6E-409C-BE32-E72D297353CC}">
              <c16:uniqueId val="{0000000D-70F7-4B7F-A9B8-73D5339B6F12}"/>
            </c:ext>
          </c:extLst>
        </c:ser>
        <c:ser>
          <c:idx val="5"/>
          <c:order val="5"/>
          <c:tx>
            <c:strRef>
              <c:f>KPI_Analysis!$G$102:$G$103</c:f>
              <c:strCache>
                <c:ptCount val="1"/>
                <c:pt idx="0">
                  <c:v>Sprite</c:v>
                </c:pt>
              </c:strCache>
            </c:strRef>
          </c:tx>
          <c:spPr>
            <a:solidFill>
              <a:schemeClr val="accent6"/>
            </a:solidFill>
            <a:ln>
              <a:noFill/>
            </a:ln>
            <a:effectLst/>
          </c:spPr>
          <c:invertIfNegative val="0"/>
          <c:cat>
            <c:strRef>
              <c:f>KPI_Analysis!$A$104:$A$107</c:f>
              <c:strCache>
                <c:ptCount val="3"/>
                <c:pt idx="0">
                  <c:v>Northeast--New York</c:v>
                </c:pt>
                <c:pt idx="1">
                  <c:v>South--Texas</c:v>
                </c:pt>
                <c:pt idx="2">
                  <c:v>West--California</c:v>
                </c:pt>
              </c:strCache>
            </c:strRef>
          </c:cat>
          <c:val>
            <c:numRef>
              <c:f>KPI_Analysis!$G$104:$G$107</c:f>
              <c:numCache>
                <c:formatCode>General</c:formatCode>
                <c:ptCount val="3"/>
                <c:pt idx="0">
                  <c:v>112200</c:v>
                </c:pt>
                <c:pt idx="1">
                  <c:v>99000</c:v>
                </c:pt>
                <c:pt idx="2">
                  <c:v>173500</c:v>
                </c:pt>
              </c:numCache>
            </c:numRef>
          </c:val>
          <c:extLst>
            <c:ext xmlns:c16="http://schemas.microsoft.com/office/drawing/2014/chart" uri="{C3380CC4-5D6E-409C-BE32-E72D297353CC}">
              <c16:uniqueId val="{0000000E-70F7-4B7F-A9B8-73D5339B6F12}"/>
            </c:ext>
          </c:extLst>
        </c:ser>
        <c:dLbls>
          <c:showLegendKey val="0"/>
          <c:showVal val="0"/>
          <c:showCatName val="0"/>
          <c:showSerName val="0"/>
          <c:showPercent val="0"/>
          <c:showBubbleSize val="0"/>
        </c:dLbls>
        <c:gapWidth val="182"/>
        <c:axId val="593188152"/>
        <c:axId val="593185200"/>
      </c:barChart>
      <c:catAx>
        <c:axId val="593188152"/>
        <c:scaling>
          <c:orientation val="minMax"/>
        </c:scaling>
        <c:delete val="1"/>
        <c:axPos val="l"/>
        <c:numFmt formatCode="General" sourceLinked="1"/>
        <c:majorTickMark val="none"/>
        <c:minorTickMark val="none"/>
        <c:tickLblPos val="nextTo"/>
        <c:crossAx val="593185200"/>
        <c:crosses val="autoZero"/>
        <c:auto val="1"/>
        <c:lblAlgn val="ctr"/>
        <c:lblOffset val="100"/>
        <c:noMultiLvlLbl val="0"/>
      </c:catAx>
      <c:valAx>
        <c:axId val="593185200"/>
        <c:scaling>
          <c:orientation val="minMax"/>
        </c:scaling>
        <c:delete val="1"/>
        <c:axPos val="b"/>
        <c:numFmt formatCode="General" sourceLinked="1"/>
        <c:majorTickMark val="none"/>
        <c:minorTickMark val="none"/>
        <c:tickLblPos val="nextTo"/>
        <c:crossAx val="5931881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[KPI.xlsx]KPI_Analysis!PivotTable15</c:name>
    <c:fmtId val="8"/>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28575" cap="rnd">
            <a:solidFill>
              <a:srgbClr val="92D050"/>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0"/>
          <c:y val="0.22222222222222221"/>
          <c:w val="0.93437733035048476"/>
          <c:h val="0.77355269615688282"/>
        </c:manualLayout>
      </c:layout>
      <c:lineChart>
        <c:grouping val="standard"/>
        <c:varyColors val="0"/>
        <c:ser>
          <c:idx val="0"/>
          <c:order val="0"/>
          <c:tx>
            <c:strRef>
              <c:f>KPI_Analysis!$B$166:$B$167</c:f>
              <c:strCache>
                <c:ptCount val="1"/>
                <c:pt idx="0">
                  <c:v>Costco</c:v>
                </c:pt>
              </c:strCache>
            </c:strRef>
          </c:tx>
          <c:spPr>
            <a:ln w="28575" cap="rnd">
              <a:solidFill>
                <a:srgbClr val="92D050"/>
              </a:solidFill>
              <a:round/>
            </a:ln>
            <a:effectLst/>
          </c:spPr>
          <c:marker>
            <c:symbol val="none"/>
          </c:marker>
          <c:cat>
            <c:strRef>
              <c:f>KPI_Analysis!$A$168:$A$174</c:f>
              <c:strCache>
                <c:ptCount val="6"/>
                <c:pt idx="0">
                  <c:v>Coca-Cola</c:v>
                </c:pt>
                <c:pt idx="1">
                  <c:v>Dasani Water</c:v>
                </c:pt>
                <c:pt idx="2">
                  <c:v>Diet Coke</c:v>
                </c:pt>
                <c:pt idx="3">
                  <c:v>Fanta</c:v>
                </c:pt>
                <c:pt idx="4">
                  <c:v>Powerade</c:v>
                </c:pt>
                <c:pt idx="5">
                  <c:v>Sprite</c:v>
                </c:pt>
              </c:strCache>
            </c:strRef>
          </c:cat>
          <c:val>
            <c:numRef>
              <c:f>KPI_Analysis!$B$168:$B$174</c:f>
              <c:numCache>
                <c:formatCode>General</c:formatCode>
                <c:ptCount val="6"/>
                <c:pt idx="0">
                  <c:v>108500</c:v>
                </c:pt>
                <c:pt idx="1">
                  <c:v>90250</c:v>
                </c:pt>
                <c:pt idx="2">
                  <c:v>99000</c:v>
                </c:pt>
                <c:pt idx="3">
                  <c:v>81250</c:v>
                </c:pt>
                <c:pt idx="4">
                  <c:v>74750</c:v>
                </c:pt>
                <c:pt idx="5">
                  <c:v>91000</c:v>
                </c:pt>
              </c:numCache>
            </c:numRef>
          </c:val>
          <c:smooth val="0"/>
          <c:extLst>
            <c:ext xmlns:c16="http://schemas.microsoft.com/office/drawing/2014/chart" uri="{C3380CC4-5D6E-409C-BE32-E72D297353CC}">
              <c16:uniqueId val="{00000000-BCCF-4CD0-9D37-77BC21604D6D}"/>
            </c:ext>
          </c:extLst>
        </c:ser>
        <c:ser>
          <c:idx val="1"/>
          <c:order val="1"/>
          <c:tx>
            <c:strRef>
              <c:f>KPI_Analysis!$C$166:$C$167</c:f>
              <c:strCache>
                <c:ptCount val="1"/>
                <c:pt idx="0">
                  <c:v>Target</c:v>
                </c:pt>
              </c:strCache>
            </c:strRef>
          </c:tx>
          <c:spPr>
            <a:ln w="28575" cap="rnd">
              <a:solidFill>
                <a:schemeClr val="accent2"/>
              </a:solidFill>
              <a:round/>
            </a:ln>
            <a:effectLst/>
          </c:spPr>
          <c:marker>
            <c:symbol val="none"/>
          </c:marker>
          <c:cat>
            <c:strRef>
              <c:f>KPI_Analysis!$A$168:$A$174</c:f>
              <c:strCache>
                <c:ptCount val="6"/>
                <c:pt idx="0">
                  <c:v>Coca-Cola</c:v>
                </c:pt>
                <c:pt idx="1">
                  <c:v>Dasani Water</c:v>
                </c:pt>
                <c:pt idx="2">
                  <c:v>Diet Coke</c:v>
                </c:pt>
                <c:pt idx="3">
                  <c:v>Fanta</c:v>
                </c:pt>
                <c:pt idx="4">
                  <c:v>Powerade</c:v>
                </c:pt>
                <c:pt idx="5">
                  <c:v>Sprite</c:v>
                </c:pt>
              </c:strCache>
            </c:strRef>
          </c:cat>
          <c:val>
            <c:numRef>
              <c:f>KPI_Analysis!$C$168:$C$174</c:f>
              <c:numCache>
                <c:formatCode>General</c:formatCode>
                <c:ptCount val="6"/>
                <c:pt idx="0">
                  <c:v>107750</c:v>
                </c:pt>
                <c:pt idx="1">
                  <c:v>100250</c:v>
                </c:pt>
                <c:pt idx="2">
                  <c:v>107750</c:v>
                </c:pt>
                <c:pt idx="3">
                  <c:v>79500</c:v>
                </c:pt>
                <c:pt idx="4">
                  <c:v>71750</c:v>
                </c:pt>
                <c:pt idx="5">
                  <c:v>99000</c:v>
                </c:pt>
              </c:numCache>
            </c:numRef>
          </c:val>
          <c:smooth val="0"/>
          <c:extLst>
            <c:ext xmlns:c16="http://schemas.microsoft.com/office/drawing/2014/chart" uri="{C3380CC4-5D6E-409C-BE32-E72D297353CC}">
              <c16:uniqueId val="{00000000-FE35-42B0-A140-0BA214D63593}"/>
            </c:ext>
          </c:extLst>
        </c:ser>
        <c:ser>
          <c:idx val="2"/>
          <c:order val="2"/>
          <c:tx>
            <c:strRef>
              <c:f>KPI_Analysis!$D$166:$D$167</c:f>
              <c:strCache>
                <c:ptCount val="1"/>
                <c:pt idx="0">
                  <c:v>Walgreens</c:v>
                </c:pt>
              </c:strCache>
            </c:strRef>
          </c:tx>
          <c:spPr>
            <a:ln w="28575" cap="rnd">
              <a:solidFill>
                <a:schemeClr val="accent3"/>
              </a:solidFill>
              <a:round/>
            </a:ln>
            <a:effectLst/>
          </c:spPr>
          <c:marker>
            <c:symbol val="none"/>
          </c:marker>
          <c:cat>
            <c:strRef>
              <c:f>KPI_Analysis!$A$168:$A$174</c:f>
              <c:strCache>
                <c:ptCount val="6"/>
                <c:pt idx="0">
                  <c:v>Coca-Cola</c:v>
                </c:pt>
                <c:pt idx="1">
                  <c:v>Dasani Water</c:v>
                </c:pt>
                <c:pt idx="2">
                  <c:v>Diet Coke</c:v>
                </c:pt>
                <c:pt idx="3">
                  <c:v>Fanta</c:v>
                </c:pt>
                <c:pt idx="4">
                  <c:v>Powerade</c:v>
                </c:pt>
                <c:pt idx="5">
                  <c:v>Sprite</c:v>
                </c:pt>
              </c:strCache>
            </c:strRef>
          </c:cat>
          <c:val>
            <c:numRef>
              <c:f>KPI_Analysis!$D$168:$D$174</c:f>
              <c:numCache>
                <c:formatCode>General</c:formatCode>
                <c:ptCount val="6"/>
                <c:pt idx="0">
                  <c:v>99750</c:v>
                </c:pt>
                <c:pt idx="1">
                  <c:v>81250</c:v>
                </c:pt>
                <c:pt idx="2">
                  <c:v>90250</c:v>
                </c:pt>
                <c:pt idx="3">
                  <c:v>72750</c:v>
                </c:pt>
                <c:pt idx="4">
                  <c:v>66000</c:v>
                </c:pt>
                <c:pt idx="5">
                  <c:v>82500</c:v>
                </c:pt>
              </c:numCache>
            </c:numRef>
          </c:val>
          <c:smooth val="0"/>
          <c:extLst>
            <c:ext xmlns:c16="http://schemas.microsoft.com/office/drawing/2014/chart" uri="{C3380CC4-5D6E-409C-BE32-E72D297353CC}">
              <c16:uniqueId val="{00000001-FE35-42B0-A140-0BA214D63593}"/>
            </c:ext>
          </c:extLst>
        </c:ser>
        <c:ser>
          <c:idx val="3"/>
          <c:order val="3"/>
          <c:tx>
            <c:strRef>
              <c:f>KPI_Analysis!$E$166:$E$167</c:f>
              <c:strCache>
                <c:ptCount val="1"/>
                <c:pt idx="0">
                  <c:v>Walmart</c:v>
                </c:pt>
              </c:strCache>
            </c:strRef>
          </c:tx>
          <c:spPr>
            <a:ln w="28575" cap="rnd">
              <a:solidFill>
                <a:schemeClr val="accent4"/>
              </a:solidFill>
              <a:round/>
            </a:ln>
            <a:effectLst/>
          </c:spPr>
          <c:marker>
            <c:symbol val="none"/>
          </c:marker>
          <c:cat>
            <c:strRef>
              <c:f>KPI_Analysis!$A$168:$A$174</c:f>
              <c:strCache>
                <c:ptCount val="6"/>
                <c:pt idx="0">
                  <c:v>Coca-Cola</c:v>
                </c:pt>
                <c:pt idx="1">
                  <c:v>Dasani Water</c:v>
                </c:pt>
                <c:pt idx="2">
                  <c:v>Diet Coke</c:v>
                </c:pt>
                <c:pt idx="3">
                  <c:v>Fanta</c:v>
                </c:pt>
                <c:pt idx="4">
                  <c:v>Powerade</c:v>
                </c:pt>
                <c:pt idx="5">
                  <c:v>Sprite</c:v>
                </c:pt>
              </c:strCache>
            </c:strRef>
          </c:cat>
          <c:val>
            <c:numRef>
              <c:f>KPI_Analysis!$E$168:$E$174</c:f>
              <c:numCache>
                <c:formatCode>General</c:formatCode>
                <c:ptCount val="6"/>
                <c:pt idx="0">
                  <c:v>145900</c:v>
                </c:pt>
                <c:pt idx="1">
                  <c:v>121000</c:v>
                </c:pt>
                <c:pt idx="2">
                  <c:v>116750</c:v>
                </c:pt>
                <c:pt idx="3">
                  <c:v>104500</c:v>
                </c:pt>
                <c:pt idx="4">
                  <c:v>106250</c:v>
                </c:pt>
                <c:pt idx="5">
                  <c:v>112200</c:v>
                </c:pt>
              </c:numCache>
            </c:numRef>
          </c:val>
          <c:smooth val="0"/>
          <c:extLst>
            <c:ext xmlns:c16="http://schemas.microsoft.com/office/drawing/2014/chart" uri="{C3380CC4-5D6E-409C-BE32-E72D297353CC}">
              <c16:uniqueId val="{00000002-FE35-42B0-A140-0BA214D63593}"/>
            </c:ext>
          </c:extLst>
        </c:ser>
        <c:dLbls>
          <c:showLegendKey val="0"/>
          <c:showVal val="0"/>
          <c:showCatName val="0"/>
          <c:showSerName val="0"/>
          <c:showPercent val="0"/>
          <c:showBubbleSize val="0"/>
        </c:dLbls>
        <c:smooth val="0"/>
        <c:axId val="690595680"/>
        <c:axId val="690597320"/>
      </c:lineChart>
      <c:catAx>
        <c:axId val="690595680"/>
        <c:scaling>
          <c:orientation val="minMax"/>
        </c:scaling>
        <c:delete val="1"/>
        <c:axPos val="b"/>
        <c:numFmt formatCode="General" sourceLinked="1"/>
        <c:majorTickMark val="none"/>
        <c:minorTickMark val="none"/>
        <c:tickLblPos val="nextTo"/>
        <c:crossAx val="690597320"/>
        <c:crosses val="autoZero"/>
        <c:auto val="1"/>
        <c:lblAlgn val="ctr"/>
        <c:lblOffset val="100"/>
        <c:noMultiLvlLbl val="0"/>
      </c:catAx>
      <c:valAx>
        <c:axId val="690597320"/>
        <c:scaling>
          <c:orientation val="minMax"/>
        </c:scaling>
        <c:delete val="1"/>
        <c:axPos val="l"/>
        <c:numFmt formatCode="General" sourceLinked="1"/>
        <c:majorTickMark val="none"/>
        <c:minorTickMark val="none"/>
        <c:tickLblPos val="nextTo"/>
        <c:crossAx val="690595680"/>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[KPI.xlsx]KPI_Analysis!PivotTable2</c:name>
    <c:fmtId val="10"/>
  </c:pivotSource>
  <c:chart>
    <c:autoTitleDeleted val="1"/>
    <c:pivotFmts>
      <c:pivotFmt>
        <c:idx val="0"/>
        <c:spPr>
          <a:solidFill>
            <a:schemeClr val="accent2"/>
          </a:solidFill>
          <a:ln>
            <a:noFill/>
          </a:ln>
          <a:effectLst/>
        </c:spPr>
        <c:marker>
          <c:symbol val="none"/>
        </c:marker>
      </c:pivotFmt>
      <c:pivotFmt>
        <c:idx val="1"/>
        <c:spPr>
          <a:solidFill>
            <a:schemeClr val="accent2">
              <a:lumMod val="20000"/>
              <a:lumOff val="80000"/>
            </a:schemeClr>
          </a:solidFill>
          <a:ln>
            <a:noFill/>
          </a:ln>
          <a:effectLst/>
        </c:spPr>
      </c:pivotFmt>
      <c:pivotFmt>
        <c:idx val="2"/>
        <c:spPr>
          <a:solidFill>
            <a:schemeClr val="accent2"/>
          </a:solidFill>
          <a:ln>
            <a:noFill/>
          </a:ln>
          <a:effectLst/>
        </c:spPr>
        <c:marker>
          <c:symbol val="none"/>
        </c:marker>
      </c:pivotFmt>
      <c:pivotFmt>
        <c:idx val="3"/>
        <c:spPr>
          <a:solidFill>
            <a:schemeClr val="accent2">
              <a:lumMod val="20000"/>
              <a:lumOff val="80000"/>
            </a:schemeClr>
          </a:solidFill>
          <a:ln>
            <a:noFill/>
          </a:ln>
          <a:effectLst/>
        </c:spPr>
      </c:pivotFmt>
      <c:pivotFmt>
        <c:idx val="4"/>
        <c:spPr>
          <a:solidFill>
            <a:schemeClr val="accent6"/>
          </a:solidFill>
          <a:ln>
            <a:noFill/>
          </a:ln>
          <a:effectLst/>
        </c:spPr>
        <c:marker>
          <c:symbol val="none"/>
        </c:marker>
      </c:pivotFmt>
      <c:pivotFmt>
        <c:idx val="5"/>
        <c:spPr>
          <a:solidFill>
            <a:schemeClr val="accent6"/>
          </a:solidFill>
          <a:ln>
            <a:noFill/>
          </a:ln>
          <a:effectLst/>
        </c:spPr>
      </c:pivotFmt>
      <c:pivotFmt>
        <c:idx val="6"/>
        <c:spPr>
          <a:solidFill>
            <a:schemeClr val="tx1"/>
          </a:solidFill>
          <a:ln>
            <a:noFill/>
          </a:ln>
          <a:effectLst/>
        </c:spPr>
      </c:pivotFmt>
      <c:pivotFmt>
        <c:idx val="7"/>
        <c:spPr>
          <a:solidFill>
            <a:srgbClr val="FFC000"/>
          </a:solidFill>
          <a:ln>
            <a:noFill/>
          </a:ln>
          <a:effectLst/>
        </c:spPr>
      </c:pivotFmt>
      <c:pivotFmt>
        <c:idx val="8"/>
        <c:spPr>
          <a:solidFill>
            <a:schemeClr val="accent1">
              <a:lumMod val="60000"/>
              <a:lumOff val="40000"/>
            </a:schemeClr>
          </a:solidFill>
          <a:ln>
            <a:noFill/>
          </a:ln>
          <a:effectLst/>
        </c:spPr>
      </c:pivotFmt>
      <c:pivotFmt>
        <c:idx val="9"/>
        <c:spPr>
          <a:solidFill>
            <a:srgbClr val="3399FF"/>
          </a:solidFill>
          <a:ln>
            <a:noFill/>
          </a:ln>
          <a:effectLst/>
        </c:spPr>
      </c:pivotFmt>
      <c:pivotFmt>
        <c:idx val="10"/>
        <c:spPr>
          <a:solidFill>
            <a:schemeClr val="tx1"/>
          </a:solidFill>
          <a:ln>
            <a:noFill/>
          </a:ln>
          <a:effectLst/>
        </c:spPr>
      </c:pivotFmt>
    </c:pivotFmts>
    <c:plotArea>
      <c:layout/>
      <c:barChart>
        <c:barDir val="bar"/>
        <c:grouping val="clustered"/>
        <c:varyColors val="0"/>
        <c:ser>
          <c:idx val="0"/>
          <c:order val="0"/>
          <c:tx>
            <c:strRef>
              <c:f>KPI_Analysis!$B$12</c:f>
              <c:strCache>
                <c:ptCount val="1"/>
                <c:pt idx="0">
                  <c:v>Total</c:v>
                </c:pt>
              </c:strCache>
            </c:strRef>
          </c:tx>
          <c:spPr>
            <a:solidFill>
              <a:schemeClr val="accent6"/>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7-4175-46F2-9F21-78D262761E52}"/>
              </c:ext>
            </c:extLst>
          </c:dPt>
          <c:dPt>
            <c:idx val="1"/>
            <c:invertIfNegative val="0"/>
            <c:bubble3D val="0"/>
            <c:spPr>
              <a:solidFill>
                <a:srgbClr val="3399FF"/>
              </a:solidFill>
              <a:ln>
                <a:noFill/>
              </a:ln>
              <a:effectLst/>
            </c:spPr>
            <c:extLst>
              <c:ext xmlns:c16="http://schemas.microsoft.com/office/drawing/2014/chart" uri="{C3380CC4-5D6E-409C-BE32-E72D297353CC}">
                <c16:uniqueId val="{00000006-4175-46F2-9F21-78D262761E52}"/>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4175-46F2-9F21-78D262761E52}"/>
              </c:ext>
            </c:extLst>
          </c:dPt>
          <c:dPt>
            <c:idx val="3"/>
            <c:invertIfNegative val="0"/>
            <c:bubble3D val="0"/>
            <c:spPr>
              <a:solidFill>
                <a:srgbClr val="FFC000"/>
              </a:solidFill>
              <a:ln>
                <a:noFill/>
              </a:ln>
              <a:effectLst/>
            </c:spPr>
            <c:extLst>
              <c:ext xmlns:c16="http://schemas.microsoft.com/office/drawing/2014/chart" uri="{C3380CC4-5D6E-409C-BE32-E72D297353CC}">
                <c16:uniqueId val="{00000004-4175-46F2-9F21-78D262761E52}"/>
              </c:ext>
            </c:extLst>
          </c:dPt>
          <c:dPt>
            <c:idx val="4"/>
            <c:invertIfNegative val="0"/>
            <c:bubble3D val="0"/>
            <c:spPr>
              <a:solidFill>
                <a:schemeClr val="tx1"/>
              </a:solidFill>
              <a:ln>
                <a:noFill/>
              </a:ln>
              <a:effectLst/>
            </c:spPr>
            <c:extLst>
              <c:ext xmlns:c16="http://schemas.microsoft.com/office/drawing/2014/chart" uri="{C3380CC4-5D6E-409C-BE32-E72D297353CC}">
                <c16:uniqueId val="{00000000-4175-46F2-9F21-78D262761E5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2-4175-46F2-9F21-78D262761E52}"/>
              </c:ext>
            </c:extLst>
          </c:dPt>
          <c:cat>
            <c:strRef>
              <c:f>KPI_Analysis!$A$13:$A$19</c:f>
              <c:strCache>
                <c:ptCount val="6"/>
                <c:pt idx="0">
                  <c:v>Coca-Cola</c:v>
                </c:pt>
                <c:pt idx="1">
                  <c:v>Dasani Water</c:v>
                </c:pt>
                <c:pt idx="2">
                  <c:v>Diet Coke</c:v>
                </c:pt>
                <c:pt idx="3">
                  <c:v>Fanta</c:v>
                </c:pt>
                <c:pt idx="4">
                  <c:v>Powerade</c:v>
                </c:pt>
                <c:pt idx="5">
                  <c:v>Sprite</c:v>
                </c:pt>
              </c:strCache>
            </c:strRef>
          </c:cat>
          <c:val>
            <c:numRef>
              <c:f>KPI_Analysis!$B$13:$B$19</c:f>
              <c:numCache>
                <c:formatCode>General</c:formatCode>
                <c:ptCount val="6"/>
                <c:pt idx="0">
                  <c:v>461900</c:v>
                </c:pt>
                <c:pt idx="1">
                  <c:v>392750</c:v>
                </c:pt>
                <c:pt idx="2">
                  <c:v>413750</c:v>
                </c:pt>
                <c:pt idx="3">
                  <c:v>338000</c:v>
                </c:pt>
                <c:pt idx="4">
                  <c:v>318750</c:v>
                </c:pt>
                <c:pt idx="5">
                  <c:v>384700</c:v>
                </c:pt>
              </c:numCache>
            </c:numRef>
          </c:val>
          <c:extLst>
            <c:ext xmlns:c16="http://schemas.microsoft.com/office/drawing/2014/chart" uri="{C3380CC4-5D6E-409C-BE32-E72D297353CC}">
              <c16:uniqueId val="{00000003-4175-46F2-9F21-78D262761E52}"/>
            </c:ext>
          </c:extLst>
        </c:ser>
        <c:dLbls>
          <c:showLegendKey val="0"/>
          <c:showVal val="0"/>
          <c:showCatName val="0"/>
          <c:showSerName val="0"/>
          <c:showPercent val="0"/>
          <c:showBubbleSize val="0"/>
        </c:dLbls>
        <c:gapWidth val="182"/>
        <c:axId val="694213968"/>
        <c:axId val="694212328"/>
      </c:barChart>
      <c:catAx>
        <c:axId val="694213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12328"/>
        <c:crosses val="autoZero"/>
        <c:auto val="1"/>
        <c:lblAlgn val="ctr"/>
        <c:lblOffset val="100"/>
        <c:noMultiLvlLbl val="0"/>
      </c:catAx>
      <c:valAx>
        <c:axId val="694212328"/>
        <c:scaling>
          <c:orientation val="minMax"/>
        </c:scaling>
        <c:delete val="1"/>
        <c:axPos val="b"/>
        <c:numFmt formatCode="General" sourceLinked="1"/>
        <c:majorTickMark val="none"/>
        <c:minorTickMark val="none"/>
        <c:tickLblPos val="nextTo"/>
        <c:crossAx val="6942139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742949</xdr:colOff>
      <xdr:row>1</xdr:row>
      <xdr:rowOff>19050</xdr:rowOff>
    </xdr:from>
    <xdr:to>
      <xdr:col>9</xdr:col>
      <xdr:colOff>723899</xdr:colOff>
      <xdr:row>10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466725</xdr:colOff>
      <xdr:row>13</xdr:row>
      <xdr:rowOff>114300</xdr:rowOff>
    </xdr:from>
    <xdr:to>
      <xdr:col>9</xdr:col>
      <xdr:colOff>333375</xdr:colOff>
      <xdr:row>22</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123824</xdr:colOff>
      <xdr:row>88</xdr:row>
      <xdr:rowOff>57150</xdr:rowOff>
    </xdr:from>
    <xdr:to>
      <xdr:col>9</xdr:col>
      <xdr:colOff>523874</xdr:colOff>
      <xdr:row>97</xdr:row>
      <xdr:rowOff>85725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333375</xdr:colOff>
      <xdr:row>165</xdr:row>
      <xdr:rowOff>19050</xdr:rowOff>
    </xdr:from>
    <xdr:to>
      <xdr:col>9</xdr:col>
      <xdr:colOff>57150</xdr:colOff>
      <xdr:row>173</xdr:row>
      <xdr:rowOff>95250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495300</xdr:colOff>
      <xdr:row>100</xdr:row>
      <xdr:rowOff>19050</xdr:rowOff>
    </xdr:from>
    <xdr:to>
      <xdr:col>9</xdr:col>
      <xdr:colOff>1314450</xdr:colOff>
      <xdr:row>109</xdr:row>
      <xdr:rowOff>180975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1571625</xdr:colOff>
      <xdr:row>99</xdr:row>
      <xdr:rowOff>180975</xdr:rowOff>
    </xdr:from>
    <xdr:to>
      <xdr:col>12</xdr:col>
      <xdr:colOff>809625</xdr:colOff>
      <xdr:row>109</xdr:row>
      <xdr:rowOff>180975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209550</xdr:colOff>
      <xdr:row>12</xdr:row>
      <xdr:rowOff>38100</xdr:rowOff>
    </xdr:from>
    <xdr:to>
      <xdr:col>12</xdr:col>
      <xdr:colOff>123825</xdr:colOff>
      <xdr:row>25</xdr:row>
      <xdr:rowOff>85725</xdr:rowOff>
    </xdr:to>
    <mc:AlternateContent xmlns:mc="http://schemas.openxmlformats.org/markup-compatibility/2006">
      <mc:Choice xmlns:a14="http://schemas.microsoft.com/office/drawing/2010/main" Requires="a14">
        <xdr:graphicFrame macro="">
          <xdr:nvGraphicFramePr>
            <xdr:cNvPr id="3" name="Beverage Brand"/>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10496550" y="2371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419099</xdr:colOff>
      <xdr:row>5</xdr:row>
      <xdr:rowOff>0</xdr:rowOff>
    </xdr:from>
    <xdr:to>
      <xdr:col>22</xdr:col>
      <xdr:colOff>47624</xdr:colOff>
      <xdr:row>35</xdr:row>
      <xdr:rowOff>180974</xdr:rowOff>
    </xdr:to>
    <xdr:sp macro="" textlink="">
      <xdr:nvSpPr>
        <xdr:cNvPr id="6" name="Rounded Rectangle 5"/>
        <xdr:cNvSpPr/>
      </xdr:nvSpPr>
      <xdr:spPr>
        <a:xfrm>
          <a:off x="1028699" y="952500"/>
          <a:ext cx="12773025" cy="5895974"/>
        </a:xfrm>
        <a:prstGeom prst="roundRect">
          <a:avLst>
            <a:gd name="adj" fmla="val 4590"/>
          </a:avLst>
        </a:prstGeom>
        <a:solidFill>
          <a:srgbClr val="9DB3D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6</xdr:row>
      <xdr:rowOff>47625</xdr:rowOff>
    </xdr:from>
    <xdr:to>
      <xdr:col>21</xdr:col>
      <xdr:colOff>466725</xdr:colOff>
      <xdr:row>34</xdr:row>
      <xdr:rowOff>142875</xdr:rowOff>
    </xdr:to>
    <xdr:sp macro="" textlink="">
      <xdr:nvSpPr>
        <xdr:cNvPr id="8" name="Rounded Rectangle 7"/>
        <xdr:cNvSpPr/>
      </xdr:nvSpPr>
      <xdr:spPr>
        <a:xfrm>
          <a:off x="1276350" y="1190625"/>
          <a:ext cx="12334875" cy="5429250"/>
        </a:xfrm>
        <a:prstGeom prst="roundRect">
          <a:avLst>
            <a:gd name="adj" fmla="val 3747"/>
          </a:avLst>
        </a:prstGeom>
        <a:solidFill>
          <a:srgbClr val="B4C5E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285750</xdr:colOff>
      <xdr:row>10</xdr:row>
      <xdr:rowOff>104775</xdr:rowOff>
    </xdr:from>
    <xdr:to>
      <xdr:col>8</xdr:col>
      <xdr:colOff>571500</xdr:colOff>
      <xdr:row>14</xdr:row>
      <xdr:rowOff>152400</xdr:rowOff>
    </xdr:to>
    <xdr:sp macro="" textlink="">
      <xdr:nvSpPr>
        <xdr:cNvPr id="9" name="Rounded Rectangle 8"/>
        <xdr:cNvSpPr/>
      </xdr:nvSpPr>
      <xdr:spPr>
        <a:xfrm>
          <a:off x="1504950" y="2009775"/>
          <a:ext cx="3943350" cy="809625"/>
        </a:xfrm>
        <a:prstGeom prst="roundRect">
          <a:avLst>
            <a:gd name="adj" fmla="val 9608"/>
          </a:avLst>
        </a:prstGeom>
        <a:solidFill>
          <a:srgbClr val="E2E9F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352425</xdr:colOff>
      <xdr:row>11</xdr:row>
      <xdr:rowOff>6350</xdr:rowOff>
    </xdr:from>
    <xdr:to>
      <xdr:col>4</xdr:col>
      <xdr:colOff>0</xdr:colOff>
      <xdr:row>14</xdr:row>
      <xdr:rowOff>73025</xdr:rowOff>
    </xdr:to>
    <xdr:sp macro="" textlink="">
      <xdr:nvSpPr>
        <xdr:cNvPr id="10" name="Rounded Rectangle 9"/>
        <xdr:cNvSpPr/>
      </xdr:nvSpPr>
      <xdr:spPr>
        <a:xfrm>
          <a:off x="1571625" y="2101850"/>
          <a:ext cx="866775" cy="6381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107950</xdr:colOff>
      <xdr:row>11</xdr:row>
      <xdr:rowOff>19050</xdr:rowOff>
    </xdr:from>
    <xdr:to>
      <xdr:col>5</xdr:col>
      <xdr:colOff>365125</xdr:colOff>
      <xdr:row>14</xdr:row>
      <xdr:rowOff>85725</xdr:rowOff>
    </xdr:to>
    <xdr:sp macro="" textlink="">
      <xdr:nvSpPr>
        <xdr:cNvPr id="11" name="Rounded Rectangle 10"/>
        <xdr:cNvSpPr/>
      </xdr:nvSpPr>
      <xdr:spPr>
        <a:xfrm>
          <a:off x="2546350" y="2114550"/>
          <a:ext cx="866775" cy="6381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473075</xdr:colOff>
      <xdr:row>11</xdr:row>
      <xdr:rowOff>0</xdr:rowOff>
    </xdr:from>
    <xdr:to>
      <xdr:col>7</xdr:col>
      <xdr:colOff>120650</xdr:colOff>
      <xdr:row>14</xdr:row>
      <xdr:rowOff>66675</xdr:rowOff>
    </xdr:to>
    <xdr:sp macro="" textlink="">
      <xdr:nvSpPr>
        <xdr:cNvPr id="12" name="Rounded Rectangle 11"/>
        <xdr:cNvSpPr/>
      </xdr:nvSpPr>
      <xdr:spPr>
        <a:xfrm>
          <a:off x="3521075" y="2095500"/>
          <a:ext cx="866775" cy="6381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11</xdr:row>
      <xdr:rowOff>12700</xdr:rowOff>
    </xdr:from>
    <xdr:to>
      <xdr:col>8</xdr:col>
      <xdr:colOff>485775</xdr:colOff>
      <xdr:row>14</xdr:row>
      <xdr:rowOff>79375</xdr:rowOff>
    </xdr:to>
    <xdr:sp macro="" textlink="">
      <xdr:nvSpPr>
        <xdr:cNvPr id="13" name="Rounded Rectangle 12"/>
        <xdr:cNvSpPr/>
      </xdr:nvSpPr>
      <xdr:spPr>
        <a:xfrm>
          <a:off x="4495800" y="2108200"/>
          <a:ext cx="866775" cy="6381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209548</xdr:colOff>
      <xdr:row>6</xdr:row>
      <xdr:rowOff>47625</xdr:rowOff>
    </xdr:from>
    <xdr:to>
      <xdr:col>12</xdr:col>
      <xdr:colOff>38100</xdr:colOff>
      <xdr:row>8</xdr:row>
      <xdr:rowOff>161925</xdr:rowOff>
    </xdr:to>
    <xdr:sp macro="" textlink="">
      <xdr:nvSpPr>
        <xdr:cNvPr id="32" name="TextBox 31"/>
        <xdr:cNvSpPr txBox="1"/>
      </xdr:nvSpPr>
      <xdr:spPr>
        <a:xfrm>
          <a:off x="1428748" y="1190625"/>
          <a:ext cx="6267452"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3C65B6"/>
              </a:solidFill>
            </a:rPr>
            <a:t>Retailer Sales Overview </a:t>
          </a:r>
        </a:p>
      </xdr:txBody>
    </xdr:sp>
    <xdr:clientData/>
  </xdr:twoCellAnchor>
  <xdr:twoCellAnchor>
    <xdr:from>
      <xdr:col>2</xdr:col>
      <xdr:colOff>257173</xdr:colOff>
      <xdr:row>8</xdr:row>
      <xdr:rowOff>95250</xdr:rowOff>
    </xdr:from>
    <xdr:to>
      <xdr:col>8</xdr:col>
      <xdr:colOff>581024</xdr:colOff>
      <xdr:row>10</xdr:row>
      <xdr:rowOff>57150</xdr:rowOff>
    </xdr:to>
    <xdr:sp macro="" textlink="">
      <xdr:nvSpPr>
        <xdr:cNvPr id="33" name="TextBox 32"/>
        <xdr:cNvSpPr txBox="1"/>
      </xdr:nvSpPr>
      <xdr:spPr>
        <a:xfrm>
          <a:off x="1476373" y="1619250"/>
          <a:ext cx="398145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rgbClr val="3C65B6"/>
              </a:solidFill>
            </a:rPr>
            <a:t>A</a:t>
          </a:r>
          <a:r>
            <a:rPr lang="en-US" sz="1200" b="0" baseline="0">
              <a:solidFill>
                <a:srgbClr val="3C65B6"/>
              </a:solidFill>
            </a:rPr>
            <a:t> Summary Performance of Sales</a:t>
          </a:r>
          <a:endParaRPr lang="en-US" sz="1200" b="0">
            <a:solidFill>
              <a:srgbClr val="3C65B6"/>
            </a:solidFill>
          </a:endParaRPr>
        </a:p>
      </xdr:txBody>
    </xdr:sp>
    <xdr:clientData/>
  </xdr:twoCellAnchor>
  <xdr:twoCellAnchor>
    <xdr:from>
      <xdr:col>2</xdr:col>
      <xdr:colOff>400050</xdr:colOff>
      <xdr:row>11</xdr:row>
      <xdr:rowOff>47625</xdr:rowOff>
    </xdr:from>
    <xdr:to>
      <xdr:col>3</xdr:col>
      <xdr:colOff>542925</xdr:colOff>
      <xdr:row>12</xdr:row>
      <xdr:rowOff>123825</xdr:rowOff>
    </xdr:to>
    <xdr:sp macro="" textlink="">
      <xdr:nvSpPr>
        <xdr:cNvPr id="34" name="TextBox 33"/>
        <xdr:cNvSpPr txBox="1"/>
      </xdr:nvSpPr>
      <xdr:spPr>
        <a:xfrm>
          <a:off x="1619250" y="2143125"/>
          <a:ext cx="752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C65B6"/>
              </a:solidFill>
            </a:rPr>
            <a:t>Revenue</a:t>
          </a:r>
        </a:p>
      </xdr:txBody>
    </xdr:sp>
    <xdr:clientData/>
  </xdr:twoCellAnchor>
  <xdr:twoCellAnchor>
    <xdr:from>
      <xdr:col>4</xdr:col>
      <xdr:colOff>66675</xdr:colOff>
      <xdr:row>11</xdr:row>
      <xdr:rowOff>47625</xdr:rowOff>
    </xdr:from>
    <xdr:to>
      <xdr:col>5</xdr:col>
      <xdr:colOff>466725</xdr:colOff>
      <xdr:row>12</xdr:row>
      <xdr:rowOff>123825</xdr:rowOff>
    </xdr:to>
    <xdr:sp macro="" textlink="">
      <xdr:nvSpPr>
        <xdr:cNvPr id="35" name="TextBox 34"/>
        <xdr:cNvSpPr txBox="1"/>
      </xdr:nvSpPr>
      <xdr:spPr>
        <a:xfrm>
          <a:off x="2505075" y="214312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C65B6"/>
              </a:solidFill>
            </a:rPr>
            <a:t>Top</a:t>
          </a:r>
          <a:r>
            <a:rPr lang="en-US" sz="1200" b="1" baseline="0">
              <a:solidFill>
                <a:srgbClr val="3C65B6"/>
              </a:solidFill>
            </a:rPr>
            <a:t> Retailer</a:t>
          </a:r>
          <a:endParaRPr lang="en-US" sz="1200" b="1">
            <a:solidFill>
              <a:srgbClr val="3C65B6"/>
            </a:solidFill>
          </a:endParaRPr>
        </a:p>
      </xdr:txBody>
    </xdr:sp>
    <xdr:clientData/>
  </xdr:twoCellAnchor>
  <xdr:twoCellAnchor>
    <xdr:from>
      <xdr:col>7</xdr:col>
      <xdr:colOff>257175</xdr:colOff>
      <xdr:row>11</xdr:row>
      <xdr:rowOff>28575</xdr:rowOff>
    </xdr:from>
    <xdr:to>
      <xdr:col>8</xdr:col>
      <xdr:colOff>485775</xdr:colOff>
      <xdr:row>12</xdr:row>
      <xdr:rowOff>104775</xdr:rowOff>
    </xdr:to>
    <xdr:sp macro="" textlink="">
      <xdr:nvSpPr>
        <xdr:cNvPr id="36" name="TextBox 35"/>
        <xdr:cNvSpPr txBox="1"/>
      </xdr:nvSpPr>
      <xdr:spPr>
        <a:xfrm>
          <a:off x="4524375" y="2124075"/>
          <a:ext cx="838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C65B6"/>
              </a:solidFill>
            </a:rPr>
            <a:t>Top Brand</a:t>
          </a:r>
        </a:p>
      </xdr:txBody>
    </xdr:sp>
    <xdr:clientData/>
  </xdr:twoCellAnchor>
  <xdr:twoCellAnchor>
    <xdr:from>
      <xdr:col>5</xdr:col>
      <xdr:colOff>304799</xdr:colOff>
      <xdr:row>10</xdr:row>
      <xdr:rowOff>133350</xdr:rowOff>
    </xdr:from>
    <xdr:to>
      <xdr:col>7</xdr:col>
      <xdr:colOff>314324</xdr:colOff>
      <xdr:row>13</xdr:row>
      <xdr:rowOff>38100</xdr:rowOff>
    </xdr:to>
    <xdr:sp macro="" textlink="">
      <xdr:nvSpPr>
        <xdr:cNvPr id="37" name="TextBox 36"/>
        <xdr:cNvSpPr txBox="1"/>
      </xdr:nvSpPr>
      <xdr:spPr>
        <a:xfrm>
          <a:off x="3352799" y="2038350"/>
          <a:ext cx="12287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3C65B6"/>
              </a:solidFill>
            </a:rPr>
            <a:t>Total Sold</a:t>
          </a:r>
        </a:p>
        <a:p>
          <a:pPr algn="ctr"/>
          <a:r>
            <a:rPr lang="en-US" sz="1200" b="1">
              <a:solidFill>
                <a:srgbClr val="3C65B6"/>
              </a:solidFill>
            </a:rPr>
            <a:t> Unit</a:t>
          </a:r>
        </a:p>
      </xdr:txBody>
    </xdr:sp>
    <xdr:clientData/>
  </xdr:twoCellAnchor>
  <xdr:twoCellAnchor>
    <xdr:from>
      <xdr:col>2</xdr:col>
      <xdr:colOff>257176</xdr:colOff>
      <xdr:row>12</xdr:row>
      <xdr:rowOff>142876</xdr:rowOff>
    </xdr:from>
    <xdr:to>
      <xdr:col>4</xdr:col>
      <xdr:colOff>152400</xdr:colOff>
      <xdr:row>14</xdr:row>
      <xdr:rowOff>9526</xdr:rowOff>
    </xdr:to>
    <xdr:sp macro="" textlink="KPI_Analysis!F4">
      <xdr:nvSpPr>
        <xdr:cNvPr id="41" name="TextBox 40"/>
        <xdr:cNvSpPr txBox="1"/>
      </xdr:nvSpPr>
      <xdr:spPr>
        <a:xfrm>
          <a:off x="1476376" y="2428876"/>
          <a:ext cx="111442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F50732-F901-4E66-A80C-6DFB4E11F34E}" type="TxLink">
            <a:rPr lang="en-US" sz="1100" b="1" i="0" u="none" strike="noStrike">
              <a:ln>
                <a:noFill/>
              </a:ln>
              <a:solidFill>
                <a:schemeClr val="tx1"/>
              </a:solidFill>
              <a:latin typeface="Calibri"/>
              <a:cs typeface="Calibri"/>
            </a:rPr>
            <a:pPr/>
            <a:t> $1,213,017.50 </a:t>
          </a:fld>
          <a:endParaRPr lang="en-US" sz="1100" b="1">
            <a:ln>
              <a:noFill/>
            </a:ln>
            <a:solidFill>
              <a:schemeClr val="tx1"/>
            </a:solidFill>
          </a:endParaRPr>
        </a:p>
      </xdr:txBody>
    </xdr:sp>
    <xdr:clientData/>
  </xdr:twoCellAnchor>
  <xdr:twoCellAnchor>
    <xdr:from>
      <xdr:col>4</xdr:col>
      <xdr:colOff>200025</xdr:colOff>
      <xdr:row>12</xdr:row>
      <xdr:rowOff>152400</xdr:rowOff>
    </xdr:from>
    <xdr:to>
      <xdr:col>5</xdr:col>
      <xdr:colOff>514350</xdr:colOff>
      <xdr:row>15</xdr:row>
      <xdr:rowOff>104775</xdr:rowOff>
    </xdr:to>
    <xdr:sp macro="" textlink="KPI_Analysis!F7">
      <xdr:nvSpPr>
        <xdr:cNvPr id="42" name="TextBox 41"/>
        <xdr:cNvSpPr txBox="1"/>
      </xdr:nvSpPr>
      <xdr:spPr>
        <a:xfrm>
          <a:off x="2638425" y="2438400"/>
          <a:ext cx="9239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640BA6-5B37-495E-9E49-41F31402CC1D}" type="TxLink">
            <a:rPr lang="en-US" sz="1100" b="1" i="0" u="none" strike="noStrike">
              <a:solidFill>
                <a:schemeClr val="tx1"/>
              </a:solidFill>
              <a:latin typeface="Calibri"/>
              <a:cs typeface="Calibri"/>
            </a:rPr>
            <a:pPr/>
            <a:t>Walmart</a:t>
          </a:fld>
          <a:endParaRPr lang="en-US" sz="1100" b="1">
            <a:solidFill>
              <a:schemeClr val="tx1"/>
            </a:solidFill>
          </a:endParaRPr>
        </a:p>
      </xdr:txBody>
    </xdr:sp>
    <xdr:clientData/>
  </xdr:twoCellAnchor>
  <xdr:twoCellAnchor>
    <xdr:from>
      <xdr:col>5</xdr:col>
      <xdr:colOff>581025</xdr:colOff>
      <xdr:row>12</xdr:row>
      <xdr:rowOff>142874</xdr:rowOff>
    </xdr:from>
    <xdr:to>
      <xdr:col>7</xdr:col>
      <xdr:colOff>238125</xdr:colOff>
      <xdr:row>14</xdr:row>
      <xdr:rowOff>76199</xdr:rowOff>
    </xdr:to>
    <xdr:sp macro="" textlink="KPI_Analysis!D13">
      <xdr:nvSpPr>
        <xdr:cNvPr id="43" name="TextBox 42"/>
        <xdr:cNvSpPr txBox="1"/>
      </xdr:nvSpPr>
      <xdr:spPr>
        <a:xfrm>
          <a:off x="3629025" y="2428874"/>
          <a:ext cx="8763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B33772-3171-4B95-A21D-D95FBFA3F751}" type="TxLink">
            <a:rPr lang="en-US" sz="1100" b="1" i="0" u="none" strike="noStrike">
              <a:solidFill>
                <a:schemeClr val="tx1"/>
              </a:solidFill>
              <a:latin typeface="Calibri"/>
              <a:cs typeface="Calibri"/>
            </a:rPr>
            <a:pPr/>
            <a:t>2309850</a:t>
          </a:fld>
          <a:endParaRPr lang="en-US" sz="1100" b="1">
            <a:solidFill>
              <a:schemeClr val="tx1"/>
            </a:solidFill>
          </a:endParaRPr>
        </a:p>
      </xdr:txBody>
    </xdr:sp>
    <xdr:clientData/>
  </xdr:twoCellAnchor>
  <xdr:twoCellAnchor>
    <xdr:from>
      <xdr:col>7</xdr:col>
      <xdr:colOff>285750</xdr:colOff>
      <xdr:row>12</xdr:row>
      <xdr:rowOff>133350</xdr:rowOff>
    </xdr:from>
    <xdr:to>
      <xdr:col>8</xdr:col>
      <xdr:colOff>619125</xdr:colOff>
      <xdr:row>14</xdr:row>
      <xdr:rowOff>142875</xdr:rowOff>
    </xdr:to>
    <xdr:sp macro="" textlink="KPI_Analysis!D16">
      <xdr:nvSpPr>
        <xdr:cNvPr id="44" name="TextBox 43"/>
        <xdr:cNvSpPr txBox="1"/>
      </xdr:nvSpPr>
      <xdr:spPr>
        <a:xfrm>
          <a:off x="4552950" y="2419350"/>
          <a:ext cx="9429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FCFC1F-6A9A-4AF5-96F0-642A47FFF8AA}" type="TxLink">
            <a:rPr lang="en-US" sz="1100" b="1" i="0" u="none" strike="noStrike">
              <a:solidFill>
                <a:srgbClr val="000000"/>
              </a:solidFill>
              <a:latin typeface="Calibri"/>
              <a:cs typeface="Calibri"/>
            </a:rPr>
            <a:pPr/>
            <a:t>Coca-Cola</a:t>
          </a:fld>
          <a:endParaRPr lang="en-US" sz="1100" b="1"/>
        </a:p>
      </xdr:txBody>
    </xdr:sp>
    <xdr:clientData/>
  </xdr:twoCellAnchor>
  <xdr:twoCellAnchor>
    <xdr:from>
      <xdr:col>2</xdr:col>
      <xdr:colOff>247650</xdr:colOff>
      <xdr:row>15</xdr:row>
      <xdr:rowOff>85725</xdr:rowOff>
    </xdr:from>
    <xdr:to>
      <xdr:col>8</xdr:col>
      <xdr:colOff>495300</xdr:colOff>
      <xdr:row>34</xdr:row>
      <xdr:rowOff>76200</xdr:rowOff>
    </xdr:to>
    <xdr:sp macro="" textlink="">
      <xdr:nvSpPr>
        <xdr:cNvPr id="45" name="Rounded Rectangle 44"/>
        <xdr:cNvSpPr/>
      </xdr:nvSpPr>
      <xdr:spPr>
        <a:xfrm>
          <a:off x="1466850" y="2943225"/>
          <a:ext cx="3905250" cy="3609975"/>
        </a:xfrm>
        <a:prstGeom prst="roundRect">
          <a:avLst>
            <a:gd name="adj" fmla="val 4036"/>
          </a:avLst>
        </a:prstGeom>
        <a:solidFill>
          <a:srgbClr val="E2E9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571500</xdr:colOff>
      <xdr:row>11</xdr:row>
      <xdr:rowOff>66675</xdr:rowOff>
    </xdr:from>
    <xdr:to>
      <xdr:col>12</xdr:col>
      <xdr:colOff>447675</xdr:colOff>
      <xdr:row>13</xdr:row>
      <xdr:rowOff>152400</xdr:rowOff>
    </xdr:to>
    <xdr:sp macro="" textlink="">
      <xdr:nvSpPr>
        <xdr:cNvPr id="46" name="TextBox 45"/>
        <xdr:cNvSpPr txBox="1"/>
      </xdr:nvSpPr>
      <xdr:spPr>
        <a:xfrm>
          <a:off x="6400800" y="2162175"/>
          <a:ext cx="17049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3C65B6"/>
              </a:solidFill>
            </a:rPr>
            <a:t>  </a:t>
          </a:r>
          <a:r>
            <a:rPr lang="en-US" sz="1200" b="1">
              <a:solidFill>
                <a:srgbClr val="3C65B6"/>
              </a:solidFill>
            </a:rPr>
            <a:t>Monthly Sales Growth</a:t>
          </a:r>
        </a:p>
      </xdr:txBody>
    </xdr:sp>
    <xdr:clientData/>
  </xdr:twoCellAnchor>
  <xdr:twoCellAnchor>
    <xdr:from>
      <xdr:col>8</xdr:col>
      <xdr:colOff>657225</xdr:colOff>
      <xdr:row>10</xdr:row>
      <xdr:rowOff>85726</xdr:rowOff>
    </xdr:from>
    <xdr:to>
      <xdr:col>14</xdr:col>
      <xdr:colOff>533400</xdr:colOff>
      <xdr:row>20</xdr:row>
      <xdr:rowOff>104776</xdr:rowOff>
    </xdr:to>
    <xdr:sp macro="" textlink="">
      <xdr:nvSpPr>
        <xdr:cNvPr id="48" name="Rounded Rectangle 47"/>
        <xdr:cNvSpPr/>
      </xdr:nvSpPr>
      <xdr:spPr>
        <a:xfrm>
          <a:off x="5534025" y="1990726"/>
          <a:ext cx="3876675" cy="1924050"/>
        </a:xfrm>
        <a:prstGeom prst="roundRect">
          <a:avLst>
            <a:gd name="adj" fmla="val 7098"/>
          </a:avLst>
        </a:prstGeom>
        <a:solidFill>
          <a:srgbClr val="E2E9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838199</xdr:colOff>
      <xdr:row>10</xdr:row>
      <xdr:rowOff>95250</xdr:rowOff>
    </xdr:from>
    <xdr:to>
      <xdr:col>16</xdr:col>
      <xdr:colOff>66674</xdr:colOff>
      <xdr:row>20</xdr:row>
      <xdr:rowOff>142875</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400050</xdr:colOff>
      <xdr:row>10</xdr:row>
      <xdr:rowOff>76200</xdr:rowOff>
    </xdr:from>
    <xdr:to>
      <xdr:col>13</xdr:col>
      <xdr:colOff>390525</xdr:colOff>
      <xdr:row>11</xdr:row>
      <xdr:rowOff>180975</xdr:rowOff>
    </xdr:to>
    <xdr:sp macro="" textlink="">
      <xdr:nvSpPr>
        <xdr:cNvPr id="50" name="TextBox 49"/>
        <xdr:cNvSpPr txBox="1"/>
      </xdr:nvSpPr>
      <xdr:spPr>
        <a:xfrm>
          <a:off x="6838950" y="1981200"/>
          <a:ext cx="18192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C65B6"/>
              </a:solidFill>
            </a:rPr>
            <a:t>Monthly Sales Growth</a:t>
          </a:r>
        </a:p>
      </xdr:txBody>
    </xdr:sp>
    <xdr:clientData/>
  </xdr:twoCellAnchor>
  <xdr:twoCellAnchor>
    <xdr:from>
      <xdr:col>3</xdr:col>
      <xdr:colOff>581025</xdr:colOff>
      <xdr:row>16</xdr:row>
      <xdr:rowOff>123825</xdr:rowOff>
    </xdr:from>
    <xdr:to>
      <xdr:col>7</xdr:col>
      <xdr:colOff>452438</xdr:colOff>
      <xdr:row>25</xdr:row>
      <xdr:rowOff>28575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66675</xdr:colOff>
      <xdr:row>20</xdr:row>
      <xdr:rowOff>47625</xdr:rowOff>
    </xdr:from>
    <xdr:to>
      <xdr:col>8</xdr:col>
      <xdr:colOff>409575</xdr:colOff>
      <xdr:row>21</xdr:row>
      <xdr:rowOff>142875</xdr:rowOff>
    </xdr:to>
    <xdr:sp macro="" textlink="">
      <xdr:nvSpPr>
        <xdr:cNvPr id="2" name="TextBox 1"/>
        <xdr:cNvSpPr txBox="1"/>
      </xdr:nvSpPr>
      <xdr:spPr>
        <a:xfrm>
          <a:off x="3114675" y="3857625"/>
          <a:ext cx="2171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C65B6"/>
              </a:solidFill>
            </a:rPr>
            <a:t>Revenue</a:t>
          </a:r>
        </a:p>
      </xdr:txBody>
    </xdr:sp>
    <xdr:clientData/>
  </xdr:twoCellAnchor>
  <xdr:twoCellAnchor>
    <xdr:from>
      <xdr:col>3</xdr:col>
      <xdr:colOff>266699</xdr:colOff>
      <xdr:row>24</xdr:row>
      <xdr:rowOff>104775</xdr:rowOff>
    </xdr:from>
    <xdr:to>
      <xdr:col>7</xdr:col>
      <xdr:colOff>333374</xdr:colOff>
      <xdr:row>25</xdr:row>
      <xdr:rowOff>161925</xdr:rowOff>
    </xdr:to>
    <xdr:sp macro="" textlink="">
      <xdr:nvSpPr>
        <xdr:cNvPr id="3" name="TextBox 2"/>
        <xdr:cNvSpPr txBox="1"/>
      </xdr:nvSpPr>
      <xdr:spPr>
        <a:xfrm>
          <a:off x="2095499" y="4676775"/>
          <a:ext cx="2505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C65B6"/>
              </a:solidFill>
            </a:rPr>
            <a:t>Top 5 Beverage Brands by Units Sold</a:t>
          </a:r>
        </a:p>
      </xdr:txBody>
    </xdr:sp>
    <xdr:clientData/>
  </xdr:twoCellAnchor>
  <xdr:twoCellAnchor>
    <xdr:from>
      <xdr:col>8</xdr:col>
      <xdr:colOff>657225</xdr:colOff>
      <xdr:row>21</xdr:row>
      <xdr:rowOff>28575</xdr:rowOff>
    </xdr:from>
    <xdr:to>
      <xdr:col>21</xdr:col>
      <xdr:colOff>257175</xdr:colOff>
      <xdr:row>34</xdr:row>
      <xdr:rowOff>76200</xdr:rowOff>
    </xdr:to>
    <xdr:sp macro="" textlink="">
      <xdr:nvSpPr>
        <xdr:cNvPr id="30" name="Rounded Rectangle 29"/>
        <xdr:cNvSpPr/>
      </xdr:nvSpPr>
      <xdr:spPr>
        <a:xfrm>
          <a:off x="5534025" y="4029075"/>
          <a:ext cx="7867650" cy="2524125"/>
        </a:xfrm>
        <a:prstGeom prst="roundRect">
          <a:avLst>
            <a:gd name="adj" fmla="val 7098"/>
          </a:avLst>
        </a:prstGeom>
        <a:solidFill>
          <a:srgbClr val="E2E9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695324</xdr:colOff>
      <xdr:row>23</xdr:row>
      <xdr:rowOff>57150</xdr:rowOff>
    </xdr:from>
    <xdr:to>
      <xdr:col>14</xdr:col>
      <xdr:colOff>171449</xdr:colOff>
      <xdr:row>34</xdr:row>
      <xdr:rowOff>66675</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10</xdr:row>
      <xdr:rowOff>76200</xdr:rowOff>
    </xdr:from>
    <xdr:to>
      <xdr:col>21</xdr:col>
      <xdr:colOff>219075</xdr:colOff>
      <xdr:row>20</xdr:row>
      <xdr:rowOff>95250</xdr:rowOff>
    </xdr:to>
    <xdr:sp macro="" textlink="">
      <xdr:nvSpPr>
        <xdr:cNvPr id="39" name="Rounded Rectangle 38"/>
        <xdr:cNvSpPr/>
      </xdr:nvSpPr>
      <xdr:spPr>
        <a:xfrm>
          <a:off x="9486900" y="1981200"/>
          <a:ext cx="3876675" cy="1924050"/>
        </a:xfrm>
        <a:prstGeom prst="roundRect">
          <a:avLst>
            <a:gd name="adj" fmla="val 7098"/>
          </a:avLst>
        </a:prstGeom>
        <a:solidFill>
          <a:srgbClr val="E2E9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142875</xdr:colOff>
      <xdr:row>10</xdr:row>
      <xdr:rowOff>47626</xdr:rowOff>
    </xdr:from>
    <xdr:to>
      <xdr:col>20</xdr:col>
      <xdr:colOff>266700</xdr:colOff>
      <xdr:row>11</xdr:row>
      <xdr:rowOff>142876</xdr:rowOff>
    </xdr:to>
    <xdr:sp macro="" textlink="">
      <xdr:nvSpPr>
        <xdr:cNvPr id="5" name="TextBox 4"/>
        <xdr:cNvSpPr txBox="1"/>
      </xdr:nvSpPr>
      <xdr:spPr>
        <a:xfrm>
          <a:off x="10239375" y="1952626"/>
          <a:ext cx="25622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solidFill>
                <a:srgbClr val="3C65B6"/>
              </a:solidFill>
            </a:rPr>
            <a:t>Retailer × Beverage Brand </a:t>
          </a:r>
        </a:p>
      </xdr:txBody>
    </xdr:sp>
    <xdr:clientData/>
  </xdr:twoCellAnchor>
  <xdr:twoCellAnchor>
    <xdr:from>
      <xdr:col>10</xdr:col>
      <xdr:colOff>38100</xdr:colOff>
      <xdr:row>21</xdr:row>
      <xdr:rowOff>66675</xdr:rowOff>
    </xdr:from>
    <xdr:to>
      <xdr:col>12</xdr:col>
      <xdr:colOff>371475</xdr:colOff>
      <xdr:row>22</xdr:row>
      <xdr:rowOff>123825</xdr:rowOff>
    </xdr:to>
    <xdr:sp macro="" textlink="">
      <xdr:nvSpPr>
        <xdr:cNvPr id="7" name="TextBox 6"/>
        <xdr:cNvSpPr txBox="1"/>
      </xdr:nvSpPr>
      <xdr:spPr>
        <a:xfrm>
          <a:off x="6477000" y="4067175"/>
          <a:ext cx="15525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C65B6"/>
              </a:solidFill>
            </a:rPr>
            <a:t>Regional Market Share</a:t>
          </a:r>
        </a:p>
      </xdr:txBody>
    </xdr:sp>
    <xdr:clientData/>
  </xdr:twoCellAnchor>
  <xdr:oneCellAnchor>
    <xdr:from>
      <xdr:col>10</xdr:col>
      <xdr:colOff>285750</xdr:colOff>
      <xdr:row>23</xdr:row>
      <xdr:rowOff>123825</xdr:rowOff>
    </xdr:from>
    <xdr:ext cx="184731" cy="264560"/>
    <xdr:sp macro="" textlink="">
      <xdr:nvSpPr>
        <xdr:cNvPr id="14" name="TextBox 13"/>
        <xdr:cNvSpPr txBox="1"/>
      </xdr:nvSpPr>
      <xdr:spPr>
        <a:xfrm>
          <a:off x="6724650" y="4505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17</xdr:col>
      <xdr:colOff>95250</xdr:colOff>
      <xdr:row>21</xdr:row>
      <xdr:rowOff>76200</xdr:rowOff>
    </xdr:from>
    <xdr:to>
      <xdr:col>20</xdr:col>
      <xdr:colOff>95250</xdr:colOff>
      <xdr:row>22</xdr:row>
      <xdr:rowOff>133350</xdr:rowOff>
    </xdr:to>
    <xdr:sp macro="" textlink="">
      <xdr:nvSpPr>
        <xdr:cNvPr id="51" name="TextBox 50"/>
        <xdr:cNvSpPr txBox="1"/>
      </xdr:nvSpPr>
      <xdr:spPr>
        <a:xfrm>
          <a:off x="10801350" y="4076700"/>
          <a:ext cx="18288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C65B6"/>
              </a:solidFill>
            </a:rPr>
            <a:t>    Brand Popularity by State</a:t>
          </a:r>
        </a:p>
      </xdr:txBody>
    </xdr:sp>
    <xdr:clientData/>
  </xdr:twoCellAnchor>
  <xdr:twoCellAnchor>
    <xdr:from>
      <xdr:col>14</xdr:col>
      <xdr:colOff>76201</xdr:colOff>
      <xdr:row>22</xdr:row>
      <xdr:rowOff>66674</xdr:rowOff>
    </xdr:from>
    <xdr:to>
      <xdr:col>21</xdr:col>
      <xdr:colOff>219075</xdr:colOff>
      <xdr:row>33</xdr:row>
      <xdr:rowOff>190499</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600074</xdr:colOff>
      <xdr:row>8</xdr:row>
      <xdr:rowOff>76201</xdr:rowOff>
    </xdr:from>
    <xdr:to>
      <xdr:col>21</xdr:col>
      <xdr:colOff>590549</xdr:colOff>
      <xdr:row>20</xdr:row>
      <xdr:rowOff>133351</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133350</xdr:colOff>
      <xdr:row>6</xdr:row>
      <xdr:rowOff>114300</xdr:rowOff>
    </xdr:from>
    <xdr:to>
      <xdr:col>18</xdr:col>
      <xdr:colOff>133350</xdr:colOff>
      <xdr:row>10</xdr:row>
      <xdr:rowOff>19049</xdr:rowOff>
    </xdr:to>
    <mc:AlternateContent xmlns:mc="http://schemas.openxmlformats.org/markup-compatibility/2006" xmlns:a14="http://schemas.microsoft.com/office/drawing/2010/main">
      <mc:Choice Requires="a14">
        <xdr:graphicFrame macro="">
          <xdr:nvGraphicFramePr>
            <xdr:cNvPr id="40" name="Region--State 1"/>
            <xdr:cNvGraphicFramePr/>
          </xdr:nvGraphicFramePr>
          <xdr:xfrm>
            <a:off x="0" y="0"/>
            <a:ext cx="0" cy="0"/>
          </xdr:xfrm>
          <a:graphic>
            <a:graphicData uri="http://schemas.microsoft.com/office/drawing/2010/slicer">
              <sle:slicer xmlns:sle="http://schemas.microsoft.com/office/drawing/2010/slicer" name="Region--State 1"/>
            </a:graphicData>
          </a:graphic>
        </xdr:graphicFrame>
      </mc:Choice>
      <mc:Fallback xmlns="">
        <xdr:sp macro="" textlink="">
          <xdr:nvSpPr>
            <xdr:cNvPr id="0" name=""/>
            <xdr:cNvSpPr>
              <a:spLocks noTextEdit="1"/>
            </xdr:cNvSpPr>
          </xdr:nvSpPr>
          <xdr:spPr>
            <a:xfrm>
              <a:off x="9620250" y="1257300"/>
              <a:ext cx="182880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161925</xdr:colOff>
      <xdr:row>6</xdr:row>
      <xdr:rowOff>133350</xdr:rowOff>
    </xdr:from>
    <xdr:to>
      <xdr:col>21</xdr:col>
      <xdr:colOff>161925</xdr:colOff>
      <xdr:row>10</xdr:row>
      <xdr:rowOff>1</xdr:rowOff>
    </xdr:to>
    <mc:AlternateContent xmlns:mc="http://schemas.openxmlformats.org/markup-compatibility/2006" xmlns:a14="http://schemas.microsoft.com/office/drawing/2010/main">
      <mc:Choice Requires="a14">
        <xdr:graphicFrame macro="">
          <xdr:nvGraphicFramePr>
            <xdr:cNvPr id="47" name="Retailer 1"/>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11477625" y="1276350"/>
              <a:ext cx="1828800" cy="628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314325</xdr:colOff>
      <xdr:row>26</xdr:row>
      <xdr:rowOff>114300</xdr:rowOff>
    </xdr:from>
    <xdr:to>
      <xdr:col>8</xdr:col>
      <xdr:colOff>342900</xdr:colOff>
      <xdr:row>34</xdr:row>
      <xdr:rowOff>19050</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104775</xdr:colOff>
      <xdr:row>6</xdr:row>
      <xdr:rowOff>114300</xdr:rowOff>
    </xdr:from>
    <xdr:to>
      <xdr:col>15</xdr:col>
      <xdr:colOff>104775</xdr:colOff>
      <xdr:row>10</xdr:row>
      <xdr:rowOff>28575</xdr:rowOff>
    </xdr:to>
    <mc:AlternateContent xmlns:mc="http://schemas.openxmlformats.org/markup-compatibility/2006">
      <mc:Choice xmlns:a14="http://schemas.microsoft.com/office/drawing/2010/main" Requires="a14">
        <xdr:graphicFrame macro="">
          <xdr:nvGraphicFramePr>
            <xdr:cNvPr id="56" name="Beverage Brand 2"/>
            <xdr:cNvGraphicFramePr/>
          </xdr:nvGraphicFramePr>
          <xdr:xfrm>
            <a:off x="0" y="0"/>
            <a:ext cx="0" cy="0"/>
          </xdr:xfrm>
          <a:graphic>
            <a:graphicData uri="http://schemas.microsoft.com/office/drawing/2010/slicer">
              <sle:slicer xmlns:sle="http://schemas.microsoft.com/office/drawing/2010/slicer" name="Beverage Brand 2"/>
            </a:graphicData>
          </a:graphic>
        </xdr:graphicFrame>
      </mc:Choice>
      <mc:Fallback>
        <xdr:sp macro="" textlink="">
          <xdr:nvSpPr>
            <xdr:cNvPr id="0" name=""/>
            <xdr:cNvSpPr>
              <a:spLocks noTextEdit="1"/>
            </xdr:cNvSpPr>
          </xdr:nvSpPr>
          <xdr:spPr>
            <a:xfrm>
              <a:off x="7762875" y="1257300"/>
              <a:ext cx="1828800"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zin" refreshedDate="46157.931136921296" backgroundQuery="1" createdVersion="8" refreshedVersion="8" minRefreshableVersion="3" recordCount="288">
  <cacheSource type="external" connectionId="2"/>
  <cacheFields count="13">
    <cacheField name="Source.Name" numFmtId="0">
      <sharedItems count="4">
        <s v="1. Retailer_Costco.xlsx"/>
        <s v="2. Retailer_Target.xlsx"/>
        <s v="3. Retailer_Walgreens.xlsx"/>
        <s v="4. Retailer_Walmart .xlsx"/>
      </sharedItems>
    </cacheField>
    <cacheField name="Retailer" numFmtId="0">
      <sharedItems count="4">
        <s v="Costco"/>
        <s v="Target"/>
        <s v="Walgreens"/>
        <s v="Walmart"/>
      </sharedItems>
    </cacheField>
    <cacheField name="Contact" numFmtId="0">
      <sharedItems count="4">
        <s v="Ana -Costco"/>
        <s v="Stuart -Target"/>
        <s v="Maria -Walgreens"/>
        <s v="Allen -Walmart"/>
      </sharedItems>
    </cacheField>
    <cacheField name="Retailer ID" numFmtId="0">
      <sharedItems containsSemiMixedTypes="0" containsString="0" containsNumber="1" containsInteger="1" minValue="1128299" maxValue="1197831" count="4">
        <n v="1128299"/>
        <n v="1197831"/>
        <n v="1189833"/>
        <n v="1185732"/>
      </sharedItems>
    </cacheField>
    <cacheField name="Order Date" numFmtId="0">
      <sharedItems containsSemiMixedTypes="0" containsNonDate="0" containsDate="1" containsString="0" minDate="2022-01-02T00:00:00" maxDate="2022-12-20T00:00:00" count="48">
        <d v="2022-01-20T00:00:00"/>
        <d v="2022-02-20T00:00:00"/>
        <d v="2022-03-19T00:00:00"/>
        <d v="2022-04-20T00:00:00"/>
        <d v="2022-05-21T00:00:00"/>
        <d v="2022-06-20T00:00:00"/>
        <d v="2022-07-19T00:00:00"/>
        <d v="2022-08-20T00:00:00"/>
        <d v="2022-09-21T00:00:00"/>
        <d v="2022-10-20T00:00:00"/>
        <d v="2022-11-20T00:00:00"/>
        <d v="2022-12-19T00:00:00"/>
        <d v="2022-01-02T00:00:00"/>
        <d v="2022-02-01T00:00:00"/>
        <d v="2022-03-03T00:00:00"/>
        <d v="2022-04-02T00:00:00"/>
        <d v="2022-05-02T00:00:00"/>
        <d v="2022-06-01T00:00:00"/>
        <d v="2022-07-03T00:00:00"/>
        <d v="2022-08-05T00:00:00"/>
        <d v="2022-09-02T00:00:00"/>
        <d v="2022-10-01T00:00:00"/>
        <d v="2022-11-02T00:00:00"/>
        <d v="2022-12-01T00:00:00"/>
        <d v="2022-01-15T00:00:00"/>
        <d v="2022-02-15T00:00:00"/>
        <d v="2022-03-14T00:00:00"/>
        <d v="2022-04-15T00:00:00"/>
        <d v="2022-05-16T00:00:00"/>
        <d v="2022-06-15T00:00:00"/>
        <d v="2022-07-14T00:00:00"/>
        <d v="2022-08-15T00:00:00"/>
        <d v="2022-09-16T00:00:00"/>
        <d v="2022-10-15T00:00:00"/>
        <d v="2022-11-15T00:00:00"/>
        <d v="2022-12-14T00:00:00"/>
        <d v="2022-01-14T00:00:00"/>
        <d v="2022-02-12T00:00:00"/>
        <d v="2022-03-10T00:00:00"/>
        <d v="2022-04-11T00:00:00"/>
        <d v="2022-05-10T00:00:00"/>
        <d v="2022-06-12T00:00:00"/>
        <d v="2022-07-10T00:00:00"/>
        <d v="2022-08-11T00:00:00"/>
        <d v="2022-09-10T00:00:00"/>
        <d v="2022-10-12T00:00:00"/>
        <d v="2022-11-11T00:00:00"/>
        <d v="2022-12-10T00:00:00"/>
      </sharedItems>
      <fieldGroup par="12"/>
    </cacheField>
    <cacheField name="Payment Date" numFmtId="0">
      <sharedItems containsSemiMixedTypes="0" containsNonDate="0" containsDate="1" containsString="0" minDate="2022-02-01T00:00:00" maxDate="2023-01-19T00:00:00"/>
    </cacheField>
    <cacheField name="Region--State" numFmtId="0">
      <sharedItems count="3">
        <s v="West--California"/>
        <s v="South--Texas"/>
        <s v="Northeast--New York"/>
      </sharedItems>
    </cacheField>
    <cacheField name="Beverage Brand" numFmtId="0">
      <sharedItems count="6">
        <s v="Coca-Cola"/>
        <s v="Diet Coke"/>
        <s v="Sprite"/>
        <s v="Fanta"/>
        <s v="Powerade"/>
        <s v="Dasani Water"/>
      </sharedItems>
    </cacheField>
    <cacheField name="Price per Unit" numFmtId="0">
      <sharedItems containsSemiMixedTypes="0" containsString="0" containsNumber="1" minValue="0.25" maxValue="0.8" count="15">
        <n v="0.39999999999999997"/>
        <n v="0.5"/>
        <n v="0.55000000000000004"/>
        <n v="0.6"/>
        <n v="0.65"/>
        <n v="0.8"/>
        <n v="0.70000000000000007"/>
        <n v="0.75"/>
        <n v="0.60000000000000009"/>
        <n v="0.25"/>
        <n v="0.35"/>
        <n v="0.4"/>
        <n v="0.3"/>
        <n v="0.45"/>
        <n v="0.7"/>
      </sharedItems>
    </cacheField>
    <cacheField name="Units Sold" numFmtId="0">
      <sharedItems containsSemiMixedTypes="0" containsString="0" containsNumber="1" containsInteger="1" minValue="4250" maxValue="12750" count="34">
        <n v="7750"/>
        <n v="6250"/>
        <n v="5750"/>
        <n v="8250"/>
        <n v="7250"/>
        <n v="5000"/>
        <n v="7000"/>
        <n v="8500"/>
        <n v="6000"/>
        <n v="8750"/>
        <n v="6750"/>
        <n v="5250"/>
        <n v="9000"/>
        <n v="7500"/>
        <n v="6500"/>
        <n v="5500"/>
        <n v="9750"/>
        <n v="10250"/>
        <n v="9250"/>
        <n v="8000"/>
        <n v="9500"/>
        <n v="10000"/>
        <n v="11000"/>
        <n v="4500"/>
        <n v="4250"/>
        <n v="12000"/>
        <n v="12500"/>
        <n v="12200"/>
        <n v="10500"/>
        <n v="12750"/>
        <n v="10750"/>
        <n v="11750"/>
        <n v="11500"/>
        <n v="9200"/>
      </sharedItems>
    </cacheField>
    <cacheField name="Revenue" numFmtId="0">
      <sharedItems containsSemiMixedTypes="0" containsString="0" containsNumber="1" minValue="2000" maxValue="7800" count="115">
        <n v="3099.9999999999995"/>
        <n v="3875"/>
        <n v="3125"/>
        <n v="3162.5000000000005"/>
        <n v="3299.9999999999995"/>
        <n v="3625"/>
        <n v="2875"/>
        <n v="2750"/>
        <n v="3500"/>
        <n v="4250"/>
        <n v="4200"/>
        <n v="3600"/>
        <n v="3250"/>
        <n v="5250"/>
        <n v="4387.5"/>
        <n v="4712.5"/>
        <n v="3750"/>
        <n v="3412.5"/>
        <n v="5600"/>
        <n v="5400"/>
        <n v="4875"/>
        <n v="3900"/>
        <n v="3575"/>
        <n v="5800"/>
        <n v="5850"/>
        <n v="5362.5"/>
        <n v="3737.5"/>
        <n v="7000"/>
        <n v="6150"/>
        <n v="5687.5"/>
        <n v="4350"/>
        <n v="5037.5"/>
        <n v="6200"/>
        <n v="6337.5"/>
        <n v="6475.0000000000009"/>
        <n v="5200"/>
        <n v="5625"/>
        <n v="5087.5"/>
        <n v="5550.0000000000009"/>
        <n v="4262.5"/>
        <n v="3987.5000000000005"/>
        <n v="5425.0000000000009"/>
        <n v="4812.5"/>
        <n v="5250.0000000000009"/>
        <n v="3850.0000000000005"/>
        <n v="3712.5000000000005"/>
        <n v="4225"/>
        <n v="4900.0000000000009"/>
        <n v="5850.0000000000009"/>
        <n v="4550"/>
        <n v="5600.0000000000009"/>
        <n v="2250"/>
        <n v="3150"/>
        <n v="2450"/>
        <n v="2200"/>
        <n v="2125"/>
        <n v="2975"/>
        <n v="2362.5"/>
        <n v="2187.5"/>
        <n v="2000"/>
        <n v="2625"/>
        <n v="2400"/>
        <n v="2600"/>
        <n v="2700"/>
        <n v="2537.5"/>
        <n v="2500"/>
        <n v="3200"/>
        <n v="2775"/>
        <n v="3700"/>
        <n v="2712.5"/>
        <n v="2800"/>
        <n v="3800"/>
        <n v="4275"/>
        <n v="3000"/>
        <n v="2925"/>
        <n v="5000"/>
        <n v="4400"/>
        <n v="4162.5"/>
        <n v="4500"/>
        <n v="3825"/>
        <n v="2812.5"/>
        <n v="4675"/>
        <n v="2587.5"/>
        <n v="4125"/>
        <n v="4050"/>
        <n v="3375"/>
        <n v="4950"/>
        <n v="2475"/>
        <n v="3037.5"/>
        <n v="4062.5"/>
        <n v="4000"/>
        <n v="4537.5"/>
        <n v="6000"/>
        <n v="6250"/>
        <n v="3712.5"/>
        <n v="6100"/>
        <n v="4625"/>
        <n v="5100"/>
        <n v="4750"/>
        <n v="7320"/>
        <n v="6500"/>
        <n v="7500"/>
        <n v="5500"/>
        <n v="6825"/>
        <n v="7650"/>
        <n v="5637.5000000000009"/>
        <n v="5550"/>
        <n v="7150"/>
        <n v="6987.5"/>
        <n v="7200"/>
        <n v="7637.5"/>
        <n v="7475"/>
        <n v="5060"/>
        <n v="7800"/>
        <n v="5225"/>
      </sharedItems>
    </cacheField>
    <cacheField name="Days (Order Date)" numFmtId="0" databaseField="0">
      <fieldGroup base="4">
        <rangePr groupBy="days" startDate="2022-01-02T00:00:00" endDate="2022-12-20T00:00:00"/>
        <groupItems count="368">
          <s v="&lt;1/2/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0/2022"/>
        </groupItems>
      </fieldGroup>
    </cacheField>
    <cacheField name="Months (Order Date)" numFmtId="0" databaseField="0">
      <fieldGroup base="4">
        <rangePr groupBy="months" startDate="2022-01-02T00:00:00" endDate="2022-12-20T00:00:00"/>
        <groupItems count="14">
          <s v="&lt;1/2/2022"/>
          <s v="Jan"/>
          <s v="Feb"/>
          <s v="Mar"/>
          <s v="Apr"/>
          <s v="May"/>
          <s v="Jun"/>
          <s v="Jul"/>
          <s v="Aug"/>
          <s v="Sep"/>
          <s v="Oct"/>
          <s v="Nov"/>
          <s v="Dec"/>
          <s v="&gt;12/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8">
  <r>
    <x v="0"/>
    <x v="0"/>
    <x v="0"/>
    <x v="0"/>
    <x v="0"/>
    <d v="2022-02-19T00:00:00"/>
    <x v="0"/>
    <x v="0"/>
    <x v="0"/>
    <x v="0"/>
    <x v="0"/>
  </r>
  <r>
    <x v="0"/>
    <x v="0"/>
    <x v="0"/>
    <x v="0"/>
    <x v="0"/>
    <d v="2022-03-26T00:00:00"/>
    <x v="0"/>
    <x v="1"/>
    <x v="1"/>
    <x v="0"/>
    <x v="1"/>
  </r>
  <r>
    <x v="0"/>
    <x v="0"/>
    <x v="0"/>
    <x v="0"/>
    <x v="0"/>
    <d v="2022-03-26T00:00:00"/>
    <x v="0"/>
    <x v="2"/>
    <x v="1"/>
    <x v="0"/>
    <x v="1"/>
  </r>
  <r>
    <x v="0"/>
    <x v="0"/>
    <x v="0"/>
    <x v="0"/>
    <x v="0"/>
    <d v="2022-02-26T00:00:00"/>
    <x v="0"/>
    <x v="3"/>
    <x v="1"/>
    <x v="1"/>
    <x v="2"/>
  </r>
  <r>
    <x v="0"/>
    <x v="0"/>
    <x v="0"/>
    <x v="0"/>
    <x v="0"/>
    <d v="2022-02-19T00:00:00"/>
    <x v="0"/>
    <x v="4"/>
    <x v="2"/>
    <x v="2"/>
    <x v="3"/>
  </r>
  <r>
    <x v="0"/>
    <x v="0"/>
    <x v="0"/>
    <x v="0"/>
    <x v="0"/>
    <d v="2022-02-19T00:00:00"/>
    <x v="0"/>
    <x v="5"/>
    <x v="1"/>
    <x v="0"/>
    <x v="1"/>
  </r>
  <r>
    <x v="0"/>
    <x v="0"/>
    <x v="0"/>
    <x v="0"/>
    <x v="1"/>
    <d v="2022-03-22T00:00:00"/>
    <x v="0"/>
    <x v="0"/>
    <x v="0"/>
    <x v="3"/>
    <x v="4"/>
  </r>
  <r>
    <x v="0"/>
    <x v="0"/>
    <x v="0"/>
    <x v="0"/>
    <x v="1"/>
    <d v="2022-03-22T00:00:00"/>
    <x v="0"/>
    <x v="1"/>
    <x v="1"/>
    <x v="4"/>
    <x v="5"/>
  </r>
  <r>
    <x v="0"/>
    <x v="0"/>
    <x v="0"/>
    <x v="0"/>
    <x v="1"/>
    <d v="2022-03-22T00:00:00"/>
    <x v="0"/>
    <x v="2"/>
    <x v="1"/>
    <x v="4"/>
    <x v="5"/>
  </r>
  <r>
    <x v="0"/>
    <x v="0"/>
    <x v="0"/>
    <x v="0"/>
    <x v="1"/>
    <d v="2022-03-22T00:00:00"/>
    <x v="0"/>
    <x v="3"/>
    <x v="1"/>
    <x v="2"/>
    <x v="6"/>
  </r>
  <r>
    <x v="0"/>
    <x v="0"/>
    <x v="0"/>
    <x v="0"/>
    <x v="1"/>
    <d v="2022-03-25T00:00:00"/>
    <x v="0"/>
    <x v="4"/>
    <x v="2"/>
    <x v="5"/>
    <x v="7"/>
  </r>
  <r>
    <x v="0"/>
    <x v="0"/>
    <x v="0"/>
    <x v="0"/>
    <x v="1"/>
    <d v="2022-03-22T00:00:00"/>
    <x v="0"/>
    <x v="5"/>
    <x v="1"/>
    <x v="6"/>
    <x v="8"/>
  </r>
  <r>
    <x v="0"/>
    <x v="0"/>
    <x v="0"/>
    <x v="0"/>
    <x v="2"/>
    <d v="2022-04-18T00:00:00"/>
    <x v="0"/>
    <x v="0"/>
    <x v="1"/>
    <x v="7"/>
    <x v="9"/>
  </r>
  <r>
    <x v="0"/>
    <x v="0"/>
    <x v="0"/>
    <x v="0"/>
    <x v="2"/>
    <d v="2022-04-18T00:00:00"/>
    <x v="0"/>
    <x v="1"/>
    <x v="3"/>
    <x v="6"/>
    <x v="10"/>
  </r>
  <r>
    <x v="0"/>
    <x v="0"/>
    <x v="0"/>
    <x v="0"/>
    <x v="2"/>
    <d v="2022-04-18T00:00:00"/>
    <x v="0"/>
    <x v="2"/>
    <x v="3"/>
    <x v="6"/>
    <x v="10"/>
  </r>
  <r>
    <x v="0"/>
    <x v="0"/>
    <x v="0"/>
    <x v="0"/>
    <x v="2"/>
    <d v="2022-04-18T00:00:00"/>
    <x v="0"/>
    <x v="3"/>
    <x v="3"/>
    <x v="8"/>
    <x v="11"/>
  </r>
  <r>
    <x v="0"/>
    <x v="0"/>
    <x v="0"/>
    <x v="0"/>
    <x v="2"/>
    <d v="2022-04-18T00:00:00"/>
    <x v="0"/>
    <x v="4"/>
    <x v="4"/>
    <x v="5"/>
    <x v="12"/>
  </r>
  <r>
    <x v="0"/>
    <x v="0"/>
    <x v="0"/>
    <x v="0"/>
    <x v="2"/>
    <d v="2022-04-18T00:00:00"/>
    <x v="0"/>
    <x v="5"/>
    <x v="3"/>
    <x v="6"/>
    <x v="10"/>
  </r>
  <r>
    <x v="0"/>
    <x v="0"/>
    <x v="0"/>
    <x v="0"/>
    <x v="3"/>
    <d v="2022-05-20T00:00:00"/>
    <x v="0"/>
    <x v="0"/>
    <x v="3"/>
    <x v="9"/>
    <x v="13"/>
  </r>
  <r>
    <x v="0"/>
    <x v="0"/>
    <x v="0"/>
    <x v="0"/>
    <x v="3"/>
    <d v="2022-05-20T00:00:00"/>
    <x v="0"/>
    <x v="1"/>
    <x v="4"/>
    <x v="10"/>
    <x v="14"/>
  </r>
  <r>
    <x v="0"/>
    <x v="0"/>
    <x v="0"/>
    <x v="0"/>
    <x v="3"/>
    <d v="2022-05-20T00:00:00"/>
    <x v="0"/>
    <x v="2"/>
    <x v="4"/>
    <x v="4"/>
    <x v="15"/>
  </r>
  <r>
    <x v="0"/>
    <x v="0"/>
    <x v="0"/>
    <x v="0"/>
    <x v="3"/>
    <d v="2022-05-20T00:00:00"/>
    <x v="0"/>
    <x v="3"/>
    <x v="3"/>
    <x v="1"/>
    <x v="16"/>
  </r>
  <r>
    <x v="0"/>
    <x v="0"/>
    <x v="0"/>
    <x v="0"/>
    <x v="3"/>
    <d v="2022-05-20T00:00:00"/>
    <x v="0"/>
    <x v="4"/>
    <x v="4"/>
    <x v="11"/>
    <x v="17"/>
  </r>
  <r>
    <x v="0"/>
    <x v="0"/>
    <x v="0"/>
    <x v="0"/>
    <x v="3"/>
    <d v="2022-05-20T00:00:00"/>
    <x v="0"/>
    <x v="5"/>
    <x v="5"/>
    <x v="6"/>
    <x v="18"/>
  </r>
  <r>
    <x v="0"/>
    <x v="0"/>
    <x v="0"/>
    <x v="0"/>
    <x v="4"/>
    <d v="2022-06-20T00:00:00"/>
    <x v="0"/>
    <x v="0"/>
    <x v="3"/>
    <x v="12"/>
    <x v="19"/>
  </r>
  <r>
    <x v="0"/>
    <x v="0"/>
    <x v="0"/>
    <x v="0"/>
    <x v="4"/>
    <d v="2022-06-20T00:00:00"/>
    <x v="0"/>
    <x v="1"/>
    <x v="4"/>
    <x v="13"/>
    <x v="20"/>
  </r>
  <r>
    <x v="0"/>
    <x v="0"/>
    <x v="0"/>
    <x v="0"/>
    <x v="4"/>
    <d v="2022-06-20T00:00:00"/>
    <x v="0"/>
    <x v="2"/>
    <x v="4"/>
    <x v="13"/>
    <x v="20"/>
  </r>
  <r>
    <x v="0"/>
    <x v="0"/>
    <x v="0"/>
    <x v="0"/>
    <x v="4"/>
    <d v="2022-06-20T00:00:00"/>
    <x v="0"/>
    <x v="3"/>
    <x v="3"/>
    <x v="14"/>
    <x v="21"/>
  </r>
  <r>
    <x v="0"/>
    <x v="0"/>
    <x v="0"/>
    <x v="0"/>
    <x v="4"/>
    <d v="2022-06-20T00:00:00"/>
    <x v="0"/>
    <x v="4"/>
    <x v="4"/>
    <x v="15"/>
    <x v="22"/>
  </r>
  <r>
    <x v="0"/>
    <x v="0"/>
    <x v="0"/>
    <x v="0"/>
    <x v="4"/>
    <d v="2022-06-20T00:00:00"/>
    <x v="0"/>
    <x v="5"/>
    <x v="5"/>
    <x v="4"/>
    <x v="23"/>
  </r>
  <r>
    <x v="0"/>
    <x v="0"/>
    <x v="0"/>
    <x v="0"/>
    <x v="5"/>
    <d v="2022-07-20T00:00:00"/>
    <x v="0"/>
    <x v="0"/>
    <x v="3"/>
    <x v="16"/>
    <x v="24"/>
  </r>
  <r>
    <x v="0"/>
    <x v="0"/>
    <x v="0"/>
    <x v="0"/>
    <x v="5"/>
    <d v="2022-07-20T00:00:00"/>
    <x v="0"/>
    <x v="1"/>
    <x v="4"/>
    <x v="3"/>
    <x v="25"/>
  </r>
  <r>
    <x v="0"/>
    <x v="0"/>
    <x v="0"/>
    <x v="0"/>
    <x v="5"/>
    <d v="2022-07-20T00:00:00"/>
    <x v="0"/>
    <x v="2"/>
    <x v="4"/>
    <x v="3"/>
    <x v="25"/>
  </r>
  <r>
    <x v="0"/>
    <x v="0"/>
    <x v="0"/>
    <x v="0"/>
    <x v="5"/>
    <d v="2022-07-20T00:00:00"/>
    <x v="0"/>
    <x v="3"/>
    <x v="3"/>
    <x v="6"/>
    <x v="10"/>
  </r>
  <r>
    <x v="0"/>
    <x v="0"/>
    <x v="0"/>
    <x v="0"/>
    <x v="5"/>
    <d v="2022-07-20T00:00:00"/>
    <x v="0"/>
    <x v="4"/>
    <x v="4"/>
    <x v="2"/>
    <x v="26"/>
  </r>
  <r>
    <x v="0"/>
    <x v="0"/>
    <x v="0"/>
    <x v="0"/>
    <x v="5"/>
    <d v="2022-07-20T00:00:00"/>
    <x v="0"/>
    <x v="5"/>
    <x v="5"/>
    <x v="9"/>
    <x v="27"/>
  </r>
  <r>
    <x v="0"/>
    <x v="0"/>
    <x v="0"/>
    <x v="0"/>
    <x v="6"/>
    <d v="2022-08-18T00:00:00"/>
    <x v="0"/>
    <x v="0"/>
    <x v="3"/>
    <x v="17"/>
    <x v="28"/>
  </r>
  <r>
    <x v="0"/>
    <x v="0"/>
    <x v="0"/>
    <x v="0"/>
    <x v="6"/>
    <d v="2022-08-18T00:00:00"/>
    <x v="0"/>
    <x v="1"/>
    <x v="4"/>
    <x v="9"/>
    <x v="29"/>
  </r>
  <r>
    <x v="0"/>
    <x v="0"/>
    <x v="0"/>
    <x v="0"/>
    <x v="6"/>
    <d v="2022-08-18T00:00:00"/>
    <x v="0"/>
    <x v="2"/>
    <x v="4"/>
    <x v="3"/>
    <x v="25"/>
  </r>
  <r>
    <x v="0"/>
    <x v="0"/>
    <x v="0"/>
    <x v="0"/>
    <x v="6"/>
    <d v="2022-08-18T00:00:00"/>
    <x v="0"/>
    <x v="3"/>
    <x v="3"/>
    <x v="4"/>
    <x v="30"/>
  </r>
  <r>
    <x v="0"/>
    <x v="0"/>
    <x v="0"/>
    <x v="0"/>
    <x v="6"/>
    <d v="2022-08-18T00:00:00"/>
    <x v="0"/>
    <x v="4"/>
    <x v="4"/>
    <x v="0"/>
    <x v="31"/>
  </r>
  <r>
    <x v="0"/>
    <x v="0"/>
    <x v="0"/>
    <x v="0"/>
    <x v="6"/>
    <d v="2022-08-18T00:00:00"/>
    <x v="0"/>
    <x v="5"/>
    <x v="5"/>
    <x v="0"/>
    <x v="32"/>
  </r>
  <r>
    <x v="0"/>
    <x v="0"/>
    <x v="0"/>
    <x v="0"/>
    <x v="7"/>
    <d v="2022-09-19T00:00:00"/>
    <x v="0"/>
    <x v="0"/>
    <x v="4"/>
    <x v="16"/>
    <x v="33"/>
  </r>
  <r>
    <x v="0"/>
    <x v="0"/>
    <x v="0"/>
    <x v="0"/>
    <x v="7"/>
    <d v="2022-09-19T00:00:00"/>
    <x v="0"/>
    <x v="1"/>
    <x v="6"/>
    <x v="18"/>
    <x v="34"/>
  </r>
  <r>
    <x v="0"/>
    <x v="0"/>
    <x v="0"/>
    <x v="0"/>
    <x v="7"/>
    <d v="2022-09-19T00:00:00"/>
    <x v="0"/>
    <x v="2"/>
    <x v="4"/>
    <x v="19"/>
    <x v="35"/>
  </r>
  <r>
    <x v="0"/>
    <x v="0"/>
    <x v="0"/>
    <x v="0"/>
    <x v="7"/>
    <d v="2022-09-19T00:00:00"/>
    <x v="0"/>
    <x v="3"/>
    <x v="4"/>
    <x v="13"/>
    <x v="20"/>
  </r>
  <r>
    <x v="0"/>
    <x v="0"/>
    <x v="0"/>
    <x v="0"/>
    <x v="7"/>
    <d v="2022-09-19T00:00:00"/>
    <x v="0"/>
    <x v="4"/>
    <x v="7"/>
    <x v="13"/>
    <x v="36"/>
  </r>
  <r>
    <x v="0"/>
    <x v="0"/>
    <x v="0"/>
    <x v="0"/>
    <x v="7"/>
    <d v="2022-09-19T00:00:00"/>
    <x v="0"/>
    <x v="5"/>
    <x v="5"/>
    <x v="4"/>
    <x v="23"/>
  </r>
  <r>
    <x v="0"/>
    <x v="0"/>
    <x v="0"/>
    <x v="0"/>
    <x v="8"/>
    <d v="2022-10-21T00:00:00"/>
    <x v="0"/>
    <x v="0"/>
    <x v="2"/>
    <x v="18"/>
    <x v="37"/>
  </r>
  <r>
    <x v="0"/>
    <x v="0"/>
    <x v="0"/>
    <x v="0"/>
    <x v="8"/>
    <d v="2022-10-21T00:00:00"/>
    <x v="0"/>
    <x v="1"/>
    <x v="8"/>
    <x v="18"/>
    <x v="38"/>
  </r>
  <r>
    <x v="0"/>
    <x v="0"/>
    <x v="0"/>
    <x v="0"/>
    <x v="8"/>
    <d v="2022-10-21T00:00:00"/>
    <x v="0"/>
    <x v="2"/>
    <x v="2"/>
    <x v="0"/>
    <x v="39"/>
  </r>
  <r>
    <x v="0"/>
    <x v="0"/>
    <x v="0"/>
    <x v="0"/>
    <x v="8"/>
    <d v="2022-10-21T00:00:00"/>
    <x v="0"/>
    <x v="3"/>
    <x v="2"/>
    <x v="4"/>
    <x v="40"/>
  </r>
  <r>
    <x v="0"/>
    <x v="0"/>
    <x v="0"/>
    <x v="0"/>
    <x v="8"/>
    <d v="2022-10-21T00:00:00"/>
    <x v="0"/>
    <x v="4"/>
    <x v="4"/>
    <x v="4"/>
    <x v="15"/>
  </r>
  <r>
    <x v="0"/>
    <x v="0"/>
    <x v="0"/>
    <x v="0"/>
    <x v="8"/>
    <d v="2022-10-21T00:00:00"/>
    <x v="0"/>
    <x v="5"/>
    <x v="6"/>
    <x v="0"/>
    <x v="41"/>
  </r>
  <r>
    <x v="0"/>
    <x v="0"/>
    <x v="0"/>
    <x v="0"/>
    <x v="9"/>
    <d v="2022-11-19T00:00:00"/>
    <x v="0"/>
    <x v="0"/>
    <x v="2"/>
    <x v="9"/>
    <x v="42"/>
  </r>
  <r>
    <x v="0"/>
    <x v="0"/>
    <x v="0"/>
    <x v="0"/>
    <x v="9"/>
    <d v="2022-11-19T00:00:00"/>
    <x v="0"/>
    <x v="1"/>
    <x v="8"/>
    <x v="9"/>
    <x v="43"/>
  </r>
  <r>
    <x v="0"/>
    <x v="0"/>
    <x v="0"/>
    <x v="0"/>
    <x v="9"/>
    <d v="2022-11-19T00:00:00"/>
    <x v="0"/>
    <x v="2"/>
    <x v="2"/>
    <x v="6"/>
    <x v="44"/>
  </r>
  <r>
    <x v="0"/>
    <x v="0"/>
    <x v="0"/>
    <x v="0"/>
    <x v="9"/>
    <d v="2022-11-19T00:00:00"/>
    <x v="0"/>
    <x v="3"/>
    <x v="2"/>
    <x v="10"/>
    <x v="45"/>
  </r>
  <r>
    <x v="0"/>
    <x v="0"/>
    <x v="0"/>
    <x v="0"/>
    <x v="9"/>
    <d v="2022-11-19T00:00:00"/>
    <x v="0"/>
    <x v="4"/>
    <x v="4"/>
    <x v="14"/>
    <x v="46"/>
  </r>
  <r>
    <x v="0"/>
    <x v="0"/>
    <x v="0"/>
    <x v="0"/>
    <x v="9"/>
    <d v="2022-11-19T00:00:00"/>
    <x v="0"/>
    <x v="5"/>
    <x v="6"/>
    <x v="6"/>
    <x v="47"/>
  </r>
  <r>
    <x v="0"/>
    <x v="0"/>
    <x v="0"/>
    <x v="0"/>
    <x v="10"/>
    <d v="2022-12-20T00:00:00"/>
    <x v="0"/>
    <x v="0"/>
    <x v="2"/>
    <x v="9"/>
    <x v="42"/>
  </r>
  <r>
    <x v="0"/>
    <x v="0"/>
    <x v="0"/>
    <x v="0"/>
    <x v="10"/>
    <d v="2022-12-20T00:00:00"/>
    <x v="0"/>
    <x v="1"/>
    <x v="8"/>
    <x v="9"/>
    <x v="43"/>
  </r>
  <r>
    <x v="0"/>
    <x v="0"/>
    <x v="0"/>
    <x v="0"/>
    <x v="10"/>
    <d v="2022-12-20T00:00:00"/>
    <x v="0"/>
    <x v="2"/>
    <x v="2"/>
    <x v="4"/>
    <x v="40"/>
  </r>
  <r>
    <x v="0"/>
    <x v="0"/>
    <x v="0"/>
    <x v="0"/>
    <x v="10"/>
    <d v="2022-12-20T00:00:00"/>
    <x v="0"/>
    <x v="3"/>
    <x v="2"/>
    <x v="6"/>
    <x v="44"/>
  </r>
  <r>
    <x v="0"/>
    <x v="0"/>
    <x v="0"/>
    <x v="0"/>
    <x v="10"/>
    <d v="2022-12-20T00:00:00"/>
    <x v="0"/>
    <x v="4"/>
    <x v="4"/>
    <x v="14"/>
    <x v="46"/>
  </r>
  <r>
    <x v="0"/>
    <x v="0"/>
    <x v="0"/>
    <x v="0"/>
    <x v="10"/>
    <d v="2022-12-20T00:00:00"/>
    <x v="0"/>
    <x v="5"/>
    <x v="6"/>
    <x v="0"/>
    <x v="41"/>
  </r>
  <r>
    <x v="0"/>
    <x v="0"/>
    <x v="0"/>
    <x v="0"/>
    <x v="11"/>
    <d v="2023-01-18T00:00:00"/>
    <x v="0"/>
    <x v="0"/>
    <x v="2"/>
    <x v="16"/>
    <x v="25"/>
  </r>
  <r>
    <x v="0"/>
    <x v="0"/>
    <x v="0"/>
    <x v="0"/>
    <x v="11"/>
    <d v="2023-01-18T00:00:00"/>
    <x v="0"/>
    <x v="1"/>
    <x v="8"/>
    <x v="16"/>
    <x v="48"/>
  </r>
  <r>
    <x v="0"/>
    <x v="0"/>
    <x v="0"/>
    <x v="0"/>
    <x v="11"/>
    <d v="2023-01-18T00:00:00"/>
    <x v="0"/>
    <x v="2"/>
    <x v="2"/>
    <x v="0"/>
    <x v="39"/>
  </r>
  <r>
    <x v="0"/>
    <x v="0"/>
    <x v="0"/>
    <x v="0"/>
    <x v="11"/>
    <d v="2023-01-18T00:00:00"/>
    <x v="0"/>
    <x v="3"/>
    <x v="2"/>
    <x v="0"/>
    <x v="39"/>
  </r>
  <r>
    <x v="0"/>
    <x v="0"/>
    <x v="0"/>
    <x v="0"/>
    <x v="11"/>
    <d v="2023-01-18T00:00:00"/>
    <x v="0"/>
    <x v="4"/>
    <x v="4"/>
    <x v="6"/>
    <x v="49"/>
  </r>
  <r>
    <x v="0"/>
    <x v="0"/>
    <x v="0"/>
    <x v="0"/>
    <x v="11"/>
    <d v="2023-01-18T00:00:00"/>
    <x v="0"/>
    <x v="5"/>
    <x v="6"/>
    <x v="19"/>
    <x v="50"/>
  </r>
  <r>
    <x v="1"/>
    <x v="1"/>
    <x v="1"/>
    <x v="1"/>
    <x v="12"/>
    <d v="2022-02-01T00:00:00"/>
    <x v="1"/>
    <x v="0"/>
    <x v="9"/>
    <x v="12"/>
    <x v="51"/>
  </r>
  <r>
    <x v="1"/>
    <x v="1"/>
    <x v="1"/>
    <x v="1"/>
    <x v="12"/>
    <d v="2022-02-01T00:00:00"/>
    <x v="1"/>
    <x v="1"/>
    <x v="10"/>
    <x v="12"/>
    <x v="52"/>
  </r>
  <r>
    <x v="1"/>
    <x v="1"/>
    <x v="1"/>
    <x v="1"/>
    <x v="12"/>
    <d v="2022-02-01T00:00:00"/>
    <x v="1"/>
    <x v="2"/>
    <x v="10"/>
    <x v="6"/>
    <x v="53"/>
  </r>
  <r>
    <x v="1"/>
    <x v="1"/>
    <x v="1"/>
    <x v="1"/>
    <x v="12"/>
    <d v="2022-02-01T00:00:00"/>
    <x v="1"/>
    <x v="3"/>
    <x v="10"/>
    <x v="6"/>
    <x v="53"/>
  </r>
  <r>
    <x v="1"/>
    <x v="1"/>
    <x v="1"/>
    <x v="1"/>
    <x v="12"/>
    <d v="2022-02-01T00:00:00"/>
    <x v="1"/>
    <x v="4"/>
    <x v="11"/>
    <x v="15"/>
    <x v="54"/>
  </r>
  <r>
    <x v="1"/>
    <x v="1"/>
    <x v="1"/>
    <x v="1"/>
    <x v="12"/>
    <d v="2022-02-01T00:00:00"/>
    <x v="1"/>
    <x v="5"/>
    <x v="10"/>
    <x v="6"/>
    <x v="53"/>
  </r>
  <r>
    <x v="1"/>
    <x v="1"/>
    <x v="1"/>
    <x v="1"/>
    <x v="13"/>
    <d v="2022-03-03T00:00:00"/>
    <x v="1"/>
    <x v="0"/>
    <x v="9"/>
    <x v="7"/>
    <x v="55"/>
  </r>
  <r>
    <x v="1"/>
    <x v="1"/>
    <x v="1"/>
    <x v="1"/>
    <x v="13"/>
    <d v="2022-03-11T00:00:00"/>
    <x v="1"/>
    <x v="1"/>
    <x v="10"/>
    <x v="7"/>
    <x v="56"/>
  </r>
  <r>
    <x v="1"/>
    <x v="1"/>
    <x v="1"/>
    <x v="1"/>
    <x v="13"/>
    <d v="2022-03-22T00:00:00"/>
    <x v="1"/>
    <x v="2"/>
    <x v="10"/>
    <x v="10"/>
    <x v="57"/>
  </r>
  <r>
    <x v="1"/>
    <x v="1"/>
    <x v="1"/>
    <x v="1"/>
    <x v="13"/>
    <d v="2022-03-03T00:00:00"/>
    <x v="1"/>
    <x v="3"/>
    <x v="10"/>
    <x v="1"/>
    <x v="58"/>
  </r>
  <r>
    <x v="1"/>
    <x v="1"/>
    <x v="1"/>
    <x v="1"/>
    <x v="13"/>
    <d v="2022-03-03T00:00:00"/>
    <x v="1"/>
    <x v="4"/>
    <x v="11"/>
    <x v="5"/>
    <x v="59"/>
  </r>
  <r>
    <x v="1"/>
    <x v="1"/>
    <x v="1"/>
    <x v="1"/>
    <x v="13"/>
    <d v="2022-03-03T00:00:00"/>
    <x v="1"/>
    <x v="5"/>
    <x v="10"/>
    <x v="6"/>
    <x v="53"/>
  </r>
  <r>
    <x v="1"/>
    <x v="1"/>
    <x v="1"/>
    <x v="1"/>
    <x v="14"/>
    <d v="2022-04-02T00:00:00"/>
    <x v="1"/>
    <x v="0"/>
    <x v="12"/>
    <x v="9"/>
    <x v="60"/>
  </r>
  <r>
    <x v="1"/>
    <x v="1"/>
    <x v="1"/>
    <x v="1"/>
    <x v="14"/>
    <d v="2022-04-02T00:00:00"/>
    <x v="1"/>
    <x v="1"/>
    <x v="11"/>
    <x v="9"/>
    <x v="8"/>
  </r>
  <r>
    <x v="1"/>
    <x v="1"/>
    <x v="1"/>
    <x v="1"/>
    <x v="14"/>
    <d v="2022-04-02T00:00:00"/>
    <x v="1"/>
    <x v="2"/>
    <x v="10"/>
    <x v="6"/>
    <x v="53"/>
  </r>
  <r>
    <x v="1"/>
    <x v="1"/>
    <x v="1"/>
    <x v="1"/>
    <x v="14"/>
    <d v="2022-04-02T00:00:00"/>
    <x v="1"/>
    <x v="3"/>
    <x v="11"/>
    <x v="8"/>
    <x v="61"/>
  </r>
  <r>
    <x v="1"/>
    <x v="1"/>
    <x v="1"/>
    <x v="1"/>
    <x v="14"/>
    <d v="2022-04-02T00:00:00"/>
    <x v="1"/>
    <x v="4"/>
    <x v="13"/>
    <x v="5"/>
    <x v="51"/>
  </r>
  <r>
    <x v="1"/>
    <x v="1"/>
    <x v="1"/>
    <x v="1"/>
    <x v="14"/>
    <d v="2022-04-02T00:00:00"/>
    <x v="1"/>
    <x v="5"/>
    <x v="11"/>
    <x v="14"/>
    <x v="62"/>
  </r>
  <r>
    <x v="1"/>
    <x v="1"/>
    <x v="1"/>
    <x v="1"/>
    <x v="15"/>
    <d v="2022-05-02T00:00:00"/>
    <x v="1"/>
    <x v="0"/>
    <x v="12"/>
    <x v="12"/>
    <x v="63"/>
  </r>
  <r>
    <x v="1"/>
    <x v="1"/>
    <x v="1"/>
    <x v="1"/>
    <x v="15"/>
    <d v="2022-05-02T00:00:00"/>
    <x v="1"/>
    <x v="1"/>
    <x v="11"/>
    <x v="12"/>
    <x v="11"/>
  </r>
  <r>
    <x v="1"/>
    <x v="1"/>
    <x v="1"/>
    <x v="1"/>
    <x v="15"/>
    <d v="2022-05-02T00:00:00"/>
    <x v="1"/>
    <x v="2"/>
    <x v="10"/>
    <x v="4"/>
    <x v="64"/>
  </r>
  <r>
    <x v="1"/>
    <x v="1"/>
    <x v="1"/>
    <x v="1"/>
    <x v="15"/>
    <d v="2022-05-02T00:00:00"/>
    <x v="1"/>
    <x v="3"/>
    <x v="11"/>
    <x v="1"/>
    <x v="65"/>
  </r>
  <r>
    <x v="1"/>
    <x v="1"/>
    <x v="1"/>
    <x v="1"/>
    <x v="15"/>
    <d v="2022-05-02T00:00:00"/>
    <x v="1"/>
    <x v="4"/>
    <x v="13"/>
    <x v="11"/>
    <x v="57"/>
  </r>
  <r>
    <x v="1"/>
    <x v="1"/>
    <x v="1"/>
    <x v="1"/>
    <x v="15"/>
    <d v="2022-05-02T00:00:00"/>
    <x v="1"/>
    <x v="5"/>
    <x v="11"/>
    <x v="19"/>
    <x v="66"/>
  </r>
  <r>
    <x v="1"/>
    <x v="1"/>
    <x v="1"/>
    <x v="1"/>
    <x v="16"/>
    <d v="2022-06-01T00:00:00"/>
    <x v="1"/>
    <x v="0"/>
    <x v="12"/>
    <x v="18"/>
    <x v="67"/>
  </r>
  <r>
    <x v="1"/>
    <x v="1"/>
    <x v="1"/>
    <x v="1"/>
    <x v="16"/>
    <d v="2022-06-01T00:00:00"/>
    <x v="1"/>
    <x v="1"/>
    <x v="11"/>
    <x v="18"/>
    <x v="68"/>
  </r>
  <r>
    <x v="1"/>
    <x v="1"/>
    <x v="1"/>
    <x v="1"/>
    <x v="16"/>
    <d v="2022-06-01T00:00:00"/>
    <x v="1"/>
    <x v="2"/>
    <x v="10"/>
    <x v="0"/>
    <x v="69"/>
  </r>
  <r>
    <x v="1"/>
    <x v="1"/>
    <x v="1"/>
    <x v="1"/>
    <x v="16"/>
    <d v="2022-06-01T00:00:00"/>
    <x v="1"/>
    <x v="3"/>
    <x v="11"/>
    <x v="6"/>
    <x v="70"/>
  </r>
  <r>
    <x v="1"/>
    <x v="1"/>
    <x v="1"/>
    <x v="1"/>
    <x v="16"/>
    <d v="2022-06-01T00:00:00"/>
    <x v="1"/>
    <x v="4"/>
    <x v="13"/>
    <x v="8"/>
    <x v="63"/>
  </r>
  <r>
    <x v="1"/>
    <x v="1"/>
    <x v="1"/>
    <x v="1"/>
    <x v="16"/>
    <d v="2022-06-01T00:00:00"/>
    <x v="1"/>
    <x v="5"/>
    <x v="11"/>
    <x v="20"/>
    <x v="71"/>
  </r>
  <r>
    <x v="1"/>
    <x v="1"/>
    <x v="1"/>
    <x v="1"/>
    <x v="17"/>
    <d v="2022-07-01T00:00:00"/>
    <x v="1"/>
    <x v="0"/>
    <x v="11"/>
    <x v="20"/>
    <x v="71"/>
  </r>
  <r>
    <x v="1"/>
    <x v="1"/>
    <x v="1"/>
    <x v="1"/>
    <x v="17"/>
    <d v="2022-07-01T00:00:00"/>
    <x v="1"/>
    <x v="1"/>
    <x v="13"/>
    <x v="20"/>
    <x v="72"/>
  </r>
  <r>
    <x v="1"/>
    <x v="1"/>
    <x v="1"/>
    <x v="1"/>
    <x v="17"/>
    <d v="2022-07-01T00:00:00"/>
    <x v="1"/>
    <x v="2"/>
    <x v="11"/>
    <x v="19"/>
    <x v="66"/>
  </r>
  <r>
    <x v="1"/>
    <x v="1"/>
    <x v="1"/>
    <x v="1"/>
    <x v="17"/>
    <d v="2022-07-01T00:00:00"/>
    <x v="1"/>
    <x v="3"/>
    <x v="11"/>
    <x v="13"/>
    <x v="73"/>
  </r>
  <r>
    <x v="1"/>
    <x v="1"/>
    <x v="1"/>
    <x v="1"/>
    <x v="17"/>
    <d v="2022-07-01T00:00:00"/>
    <x v="1"/>
    <x v="4"/>
    <x v="13"/>
    <x v="14"/>
    <x v="74"/>
  </r>
  <r>
    <x v="1"/>
    <x v="1"/>
    <x v="1"/>
    <x v="1"/>
    <x v="17"/>
    <d v="2022-07-01T00:00:00"/>
    <x v="1"/>
    <x v="5"/>
    <x v="1"/>
    <x v="21"/>
    <x v="75"/>
  </r>
  <r>
    <x v="1"/>
    <x v="1"/>
    <x v="1"/>
    <x v="1"/>
    <x v="18"/>
    <d v="2022-08-02T00:00:00"/>
    <x v="1"/>
    <x v="0"/>
    <x v="11"/>
    <x v="20"/>
    <x v="71"/>
  </r>
  <r>
    <x v="1"/>
    <x v="1"/>
    <x v="1"/>
    <x v="1"/>
    <x v="18"/>
    <d v="2022-08-02T00:00:00"/>
    <x v="1"/>
    <x v="1"/>
    <x v="13"/>
    <x v="20"/>
    <x v="72"/>
  </r>
  <r>
    <x v="1"/>
    <x v="1"/>
    <x v="1"/>
    <x v="1"/>
    <x v="18"/>
    <d v="2022-08-02T00:00:00"/>
    <x v="1"/>
    <x v="2"/>
    <x v="11"/>
    <x v="22"/>
    <x v="76"/>
  </r>
  <r>
    <x v="1"/>
    <x v="1"/>
    <x v="1"/>
    <x v="1"/>
    <x v="18"/>
    <d v="2022-08-02T00:00:00"/>
    <x v="1"/>
    <x v="3"/>
    <x v="11"/>
    <x v="6"/>
    <x v="70"/>
  </r>
  <r>
    <x v="1"/>
    <x v="1"/>
    <x v="1"/>
    <x v="1"/>
    <x v="18"/>
    <d v="2022-08-02T00:00:00"/>
    <x v="1"/>
    <x v="4"/>
    <x v="13"/>
    <x v="6"/>
    <x v="52"/>
  </r>
  <r>
    <x v="1"/>
    <x v="1"/>
    <x v="1"/>
    <x v="1"/>
    <x v="18"/>
    <d v="2022-08-02T00:00:00"/>
    <x v="1"/>
    <x v="5"/>
    <x v="1"/>
    <x v="16"/>
    <x v="20"/>
  </r>
  <r>
    <x v="1"/>
    <x v="1"/>
    <x v="1"/>
    <x v="1"/>
    <x v="19"/>
    <d v="2022-09-04T00:00:00"/>
    <x v="1"/>
    <x v="0"/>
    <x v="11"/>
    <x v="18"/>
    <x v="68"/>
  </r>
  <r>
    <x v="1"/>
    <x v="1"/>
    <x v="1"/>
    <x v="1"/>
    <x v="19"/>
    <d v="2022-09-04T00:00:00"/>
    <x v="1"/>
    <x v="1"/>
    <x v="13"/>
    <x v="18"/>
    <x v="77"/>
  </r>
  <r>
    <x v="1"/>
    <x v="1"/>
    <x v="1"/>
    <x v="1"/>
    <x v="19"/>
    <d v="2022-09-04T00:00:00"/>
    <x v="1"/>
    <x v="2"/>
    <x v="11"/>
    <x v="22"/>
    <x v="76"/>
  </r>
  <r>
    <x v="1"/>
    <x v="1"/>
    <x v="1"/>
    <x v="1"/>
    <x v="19"/>
    <d v="2022-09-04T00:00:00"/>
    <x v="1"/>
    <x v="3"/>
    <x v="11"/>
    <x v="14"/>
    <x v="62"/>
  </r>
  <r>
    <x v="1"/>
    <x v="1"/>
    <x v="1"/>
    <x v="1"/>
    <x v="19"/>
    <d v="2022-09-04T00:00:00"/>
    <x v="1"/>
    <x v="4"/>
    <x v="13"/>
    <x v="14"/>
    <x v="74"/>
  </r>
  <r>
    <x v="1"/>
    <x v="1"/>
    <x v="1"/>
    <x v="1"/>
    <x v="19"/>
    <d v="2022-09-04T00:00:00"/>
    <x v="1"/>
    <x v="5"/>
    <x v="1"/>
    <x v="12"/>
    <x v="78"/>
  </r>
  <r>
    <x v="1"/>
    <x v="1"/>
    <x v="1"/>
    <x v="1"/>
    <x v="20"/>
    <d v="2022-10-02T00:00:00"/>
    <x v="1"/>
    <x v="0"/>
    <x v="13"/>
    <x v="7"/>
    <x v="79"/>
  </r>
  <r>
    <x v="1"/>
    <x v="1"/>
    <x v="1"/>
    <x v="1"/>
    <x v="20"/>
    <d v="2022-10-02T00:00:00"/>
    <x v="1"/>
    <x v="1"/>
    <x v="13"/>
    <x v="7"/>
    <x v="79"/>
  </r>
  <r>
    <x v="1"/>
    <x v="1"/>
    <x v="1"/>
    <x v="1"/>
    <x v="20"/>
    <d v="2022-10-02T00:00:00"/>
    <x v="1"/>
    <x v="2"/>
    <x v="1"/>
    <x v="12"/>
    <x v="78"/>
  </r>
  <r>
    <x v="1"/>
    <x v="1"/>
    <x v="1"/>
    <x v="1"/>
    <x v="20"/>
    <d v="2022-10-02T00:00:00"/>
    <x v="1"/>
    <x v="3"/>
    <x v="1"/>
    <x v="1"/>
    <x v="2"/>
  </r>
  <r>
    <x v="1"/>
    <x v="1"/>
    <x v="1"/>
    <x v="1"/>
    <x v="20"/>
    <d v="2022-10-02T00:00:00"/>
    <x v="1"/>
    <x v="4"/>
    <x v="13"/>
    <x v="1"/>
    <x v="80"/>
  </r>
  <r>
    <x v="1"/>
    <x v="1"/>
    <x v="1"/>
    <x v="1"/>
    <x v="20"/>
    <d v="2022-10-02T00:00:00"/>
    <x v="1"/>
    <x v="5"/>
    <x v="2"/>
    <x v="7"/>
    <x v="81"/>
  </r>
  <r>
    <x v="1"/>
    <x v="1"/>
    <x v="1"/>
    <x v="1"/>
    <x v="21"/>
    <d v="2022-10-31T00:00:00"/>
    <x v="1"/>
    <x v="0"/>
    <x v="13"/>
    <x v="19"/>
    <x v="11"/>
  </r>
  <r>
    <x v="1"/>
    <x v="1"/>
    <x v="1"/>
    <x v="1"/>
    <x v="21"/>
    <d v="2022-10-31T00:00:00"/>
    <x v="1"/>
    <x v="1"/>
    <x v="13"/>
    <x v="19"/>
    <x v="11"/>
  </r>
  <r>
    <x v="1"/>
    <x v="1"/>
    <x v="1"/>
    <x v="1"/>
    <x v="21"/>
    <d v="2022-10-31T00:00:00"/>
    <x v="1"/>
    <x v="2"/>
    <x v="1"/>
    <x v="13"/>
    <x v="16"/>
  </r>
  <r>
    <x v="1"/>
    <x v="1"/>
    <x v="1"/>
    <x v="1"/>
    <x v="21"/>
    <d v="2022-10-31T00:00:00"/>
    <x v="1"/>
    <x v="3"/>
    <x v="1"/>
    <x v="8"/>
    <x v="73"/>
  </r>
  <r>
    <x v="1"/>
    <x v="1"/>
    <x v="1"/>
    <x v="1"/>
    <x v="21"/>
    <d v="2022-10-31T00:00:00"/>
    <x v="1"/>
    <x v="4"/>
    <x v="13"/>
    <x v="2"/>
    <x v="82"/>
  </r>
  <r>
    <x v="1"/>
    <x v="1"/>
    <x v="1"/>
    <x v="1"/>
    <x v="21"/>
    <d v="2022-10-31T00:00:00"/>
    <x v="1"/>
    <x v="5"/>
    <x v="2"/>
    <x v="13"/>
    <x v="83"/>
  </r>
  <r>
    <x v="1"/>
    <x v="1"/>
    <x v="1"/>
    <x v="1"/>
    <x v="22"/>
    <d v="2022-12-02T00:00:00"/>
    <x v="1"/>
    <x v="0"/>
    <x v="13"/>
    <x v="12"/>
    <x v="84"/>
  </r>
  <r>
    <x v="1"/>
    <x v="1"/>
    <x v="1"/>
    <x v="1"/>
    <x v="22"/>
    <d v="2022-12-02T00:00:00"/>
    <x v="1"/>
    <x v="1"/>
    <x v="13"/>
    <x v="12"/>
    <x v="84"/>
  </r>
  <r>
    <x v="1"/>
    <x v="1"/>
    <x v="1"/>
    <x v="1"/>
    <x v="22"/>
    <d v="2022-12-02T00:00:00"/>
    <x v="1"/>
    <x v="2"/>
    <x v="1"/>
    <x v="3"/>
    <x v="83"/>
  </r>
  <r>
    <x v="1"/>
    <x v="1"/>
    <x v="1"/>
    <x v="1"/>
    <x v="22"/>
    <d v="2022-12-02T00:00:00"/>
    <x v="1"/>
    <x v="3"/>
    <x v="1"/>
    <x v="10"/>
    <x v="85"/>
  </r>
  <r>
    <x v="1"/>
    <x v="1"/>
    <x v="1"/>
    <x v="1"/>
    <x v="22"/>
    <d v="2022-12-02T00:00:00"/>
    <x v="1"/>
    <x v="4"/>
    <x v="13"/>
    <x v="14"/>
    <x v="74"/>
  </r>
  <r>
    <x v="1"/>
    <x v="1"/>
    <x v="1"/>
    <x v="1"/>
    <x v="22"/>
    <d v="2022-12-02T00:00:00"/>
    <x v="1"/>
    <x v="5"/>
    <x v="2"/>
    <x v="7"/>
    <x v="81"/>
  </r>
  <r>
    <x v="1"/>
    <x v="1"/>
    <x v="1"/>
    <x v="1"/>
    <x v="23"/>
    <d v="2022-12-31T00:00:00"/>
    <x v="1"/>
    <x v="0"/>
    <x v="13"/>
    <x v="20"/>
    <x v="72"/>
  </r>
  <r>
    <x v="1"/>
    <x v="1"/>
    <x v="1"/>
    <x v="1"/>
    <x v="23"/>
    <d v="2022-12-31T00:00:00"/>
    <x v="1"/>
    <x v="1"/>
    <x v="13"/>
    <x v="20"/>
    <x v="72"/>
  </r>
  <r>
    <x v="1"/>
    <x v="1"/>
    <x v="1"/>
    <x v="1"/>
    <x v="23"/>
    <d v="2022-12-31T00:00:00"/>
    <x v="1"/>
    <x v="2"/>
    <x v="1"/>
    <x v="7"/>
    <x v="9"/>
  </r>
  <r>
    <x v="1"/>
    <x v="1"/>
    <x v="1"/>
    <x v="1"/>
    <x v="23"/>
    <d v="2022-12-31T00:00:00"/>
    <x v="1"/>
    <x v="3"/>
    <x v="1"/>
    <x v="6"/>
    <x v="8"/>
  </r>
  <r>
    <x v="1"/>
    <x v="1"/>
    <x v="1"/>
    <x v="1"/>
    <x v="23"/>
    <d v="2022-12-31T00:00:00"/>
    <x v="1"/>
    <x v="4"/>
    <x v="13"/>
    <x v="14"/>
    <x v="74"/>
  </r>
  <r>
    <x v="1"/>
    <x v="1"/>
    <x v="1"/>
    <x v="1"/>
    <x v="23"/>
    <d v="2022-12-31T00:00:00"/>
    <x v="1"/>
    <x v="5"/>
    <x v="2"/>
    <x v="12"/>
    <x v="86"/>
  </r>
  <r>
    <x v="2"/>
    <x v="2"/>
    <x v="2"/>
    <x v="2"/>
    <x v="24"/>
    <d v="2022-02-19T00:00:00"/>
    <x v="0"/>
    <x v="0"/>
    <x v="10"/>
    <x v="6"/>
    <x v="53"/>
  </r>
  <r>
    <x v="2"/>
    <x v="2"/>
    <x v="2"/>
    <x v="2"/>
    <x v="24"/>
    <d v="2022-02-14T00:00:00"/>
    <x v="0"/>
    <x v="1"/>
    <x v="13"/>
    <x v="6"/>
    <x v="52"/>
  </r>
  <r>
    <x v="2"/>
    <x v="2"/>
    <x v="2"/>
    <x v="2"/>
    <x v="24"/>
    <d v="2022-02-14T00:00:00"/>
    <x v="0"/>
    <x v="2"/>
    <x v="13"/>
    <x v="6"/>
    <x v="52"/>
  </r>
  <r>
    <x v="2"/>
    <x v="2"/>
    <x v="2"/>
    <x v="2"/>
    <x v="24"/>
    <d v="2022-02-14T00:00:00"/>
    <x v="0"/>
    <x v="3"/>
    <x v="13"/>
    <x v="15"/>
    <x v="87"/>
  </r>
  <r>
    <x v="2"/>
    <x v="2"/>
    <x v="2"/>
    <x v="2"/>
    <x v="24"/>
    <d v="2022-02-14T00:00:00"/>
    <x v="0"/>
    <x v="4"/>
    <x v="1"/>
    <x v="5"/>
    <x v="65"/>
  </r>
  <r>
    <x v="2"/>
    <x v="2"/>
    <x v="2"/>
    <x v="2"/>
    <x v="24"/>
    <d v="2022-02-14T00:00:00"/>
    <x v="0"/>
    <x v="5"/>
    <x v="13"/>
    <x v="6"/>
    <x v="52"/>
  </r>
  <r>
    <x v="2"/>
    <x v="2"/>
    <x v="2"/>
    <x v="2"/>
    <x v="25"/>
    <d v="2022-03-17T00:00:00"/>
    <x v="0"/>
    <x v="0"/>
    <x v="10"/>
    <x v="13"/>
    <x v="60"/>
  </r>
  <r>
    <x v="2"/>
    <x v="2"/>
    <x v="2"/>
    <x v="2"/>
    <x v="25"/>
    <d v="2022-03-17T00:00:00"/>
    <x v="0"/>
    <x v="1"/>
    <x v="13"/>
    <x v="14"/>
    <x v="74"/>
  </r>
  <r>
    <x v="2"/>
    <x v="2"/>
    <x v="2"/>
    <x v="2"/>
    <x v="25"/>
    <d v="2022-03-17T00:00:00"/>
    <x v="0"/>
    <x v="2"/>
    <x v="13"/>
    <x v="10"/>
    <x v="88"/>
  </r>
  <r>
    <x v="2"/>
    <x v="2"/>
    <x v="2"/>
    <x v="2"/>
    <x v="25"/>
    <d v="2022-03-17T00:00:00"/>
    <x v="0"/>
    <x v="3"/>
    <x v="13"/>
    <x v="11"/>
    <x v="57"/>
  </r>
  <r>
    <x v="2"/>
    <x v="2"/>
    <x v="2"/>
    <x v="2"/>
    <x v="25"/>
    <d v="2022-03-22T00:00:00"/>
    <x v="0"/>
    <x v="4"/>
    <x v="1"/>
    <x v="23"/>
    <x v="51"/>
  </r>
  <r>
    <x v="2"/>
    <x v="2"/>
    <x v="2"/>
    <x v="2"/>
    <x v="25"/>
    <d v="2022-03-25T00:00:00"/>
    <x v="0"/>
    <x v="5"/>
    <x v="13"/>
    <x v="14"/>
    <x v="74"/>
  </r>
  <r>
    <x v="2"/>
    <x v="2"/>
    <x v="2"/>
    <x v="2"/>
    <x v="26"/>
    <d v="2022-04-13T00:00:00"/>
    <x v="0"/>
    <x v="0"/>
    <x v="10"/>
    <x v="19"/>
    <x v="70"/>
  </r>
  <r>
    <x v="2"/>
    <x v="2"/>
    <x v="2"/>
    <x v="2"/>
    <x v="26"/>
    <d v="2022-04-13T00:00:00"/>
    <x v="0"/>
    <x v="1"/>
    <x v="13"/>
    <x v="14"/>
    <x v="74"/>
  </r>
  <r>
    <x v="2"/>
    <x v="2"/>
    <x v="2"/>
    <x v="2"/>
    <x v="26"/>
    <d v="2022-04-13T00:00:00"/>
    <x v="0"/>
    <x v="2"/>
    <x v="13"/>
    <x v="14"/>
    <x v="74"/>
  </r>
  <r>
    <x v="2"/>
    <x v="2"/>
    <x v="2"/>
    <x v="2"/>
    <x v="26"/>
    <d v="2022-04-13T00:00:00"/>
    <x v="0"/>
    <x v="3"/>
    <x v="13"/>
    <x v="15"/>
    <x v="87"/>
  </r>
  <r>
    <x v="2"/>
    <x v="2"/>
    <x v="2"/>
    <x v="2"/>
    <x v="26"/>
    <d v="2022-04-13T00:00:00"/>
    <x v="0"/>
    <x v="4"/>
    <x v="1"/>
    <x v="24"/>
    <x v="55"/>
  </r>
  <r>
    <x v="2"/>
    <x v="2"/>
    <x v="2"/>
    <x v="2"/>
    <x v="26"/>
    <d v="2022-04-13T00:00:00"/>
    <x v="0"/>
    <x v="5"/>
    <x v="13"/>
    <x v="1"/>
    <x v="80"/>
  </r>
  <r>
    <x v="2"/>
    <x v="2"/>
    <x v="2"/>
    <x v="2"/>
    <x v="27"/>
    <d v="2022-05-15T00:00:00"/>
    <x v="0"/>
    <x v="0"/>
    <x v="13"/>
    <x v="19"/>
    <x v="11"/>
  </r>
  <r>
    <x v="2"/>
    <x v="2"/>
    <x v="2"/>
    <x v="2"/>
    <x v="27"/>
    <d v="2022-05-15T00:00:00"/>
    <x v="0"/>
    <x v="1"/>
    <x v="1"/>
    <x v="8"/>
    <x v="73"/>
  </r>
  <r>
    <x v="2"/>
    <x v="2"/>
    <x v="2"/>
    <x v="2"/>
    <x v="27"/>
    <d v="2022-05-15T00:00:00"/>
    <x v="0"/>
    <x v="2"/>
    <x v="1"/>
    <x v="1"/>
    <x v="2"/>
  </r>
  <r>
    <x v="2"/>
    <x v="2"/>
    <x v="2"/>
    <x v="2"/>
    <x v="27"/>
    <d v="2022-05-15T00:00:00"/>
    <x v="0"/>
    <x v="3"/>
    <x v="13"/>
    <x v="11"/>
    <x v="57"/>
  </r>
  <r>
    <x v="2"/>
    <x v="2"/>
    <x v="2"/>
    <x v="2"/>
    <x v="27"/>
    <d v="2022-05-15T00:00:00"/>
    <x v="0"/>
    <x v="4"/>
    <x v="1"/>
    <x v="24"/>
    <x v="55"/>
  </r>
  <r>
    <x v="2"/>
    <x v="2"/>
    <x v="2"/>
    <x v="2"/>
    <x v="27"/>
    <d v="2022-05-15T00:00:00"/>
    <x v="0"/>
    <x v="5"/>
    <x v="4"/>
    <x v="8"/>
    <x v="21"/>
  </r>
  <r>
    <x v="2"/>
    <x v="2"/>
    <x v="2"/>
    <x v="2"/>
    <x v="28"/>
    <d v="2022-06-15T00:00:00"/>
    <x v="0"/>
    <x v="0"/>
    <x v="13"/>
    <x v="19"/>
    <x v="11"/>
  </r>
  <r>
    <x v="2"/>
    <x v="2"/>
    <x v="2"/>
    <x v="2"/>
    <x v="28"/>
    <d v="2022-06-15T00:00:00"/>
    <x v="0"/>
    <x v="1"/>
    <x v="1"/>
    <x v="14"/>
    <x v="12"/>
  </r>
  <r>
    <x v="2"/>
    <x v="2"/>
    <x v="2"/>
    <x v="2"/>
    <x v="28"/>
    <d v="2022-06-15T00:00:00"/>
    <x v="0"/>
    <x v="2"/>
    <x v="1"/>
    <x v="14"/>
    <x v="12"/>
  </r>
  <r>
    <x v="2"/>
    <x v="2"/>
    <x v="2"/>
    <x v="2"/>
    <x v="28"/>
    <d v="2022-06-15T00:00:00"/>
    <x v="0"/>
    <x v="3"/>
    <x v="13"/>
    <x v="15"/>
    <x v="87"/>
  </r>
  <r>
    <x v="2"/>
    <x v="2"/>
    <x v="2"/>
    <x v="2"/>
    <x v="28"/>
    <d v="2022-06-15T00:00:00"/>
    <x v="0"/>
    <x v="4"/>
    <x v="1"/>
    <x v="23"/>
    <x v="51"/>
  </r>
  <r>
    <x v="2"/>
    <x v="2"/>
    <x v="2"/>
    <x v="2"/>
    <x v="28"/>
    <d v="2022-06-15T00:00:00"/>
    <x v="0"/>
    <x v="5"/>
    <x v="4"/>
    <x v="1"/>
    <x v="89"/>
  </r>
  <r>
    <x v="2"/>
    <x v="2"/>
    <x v="2"/>
    <x v="2"/>
    <x v="29"/>
    <d v="2022-07-15T00:00:00"/>
    <x v="0"/>
    <x v="0"/>
    <x v="13"/>
    <x v="12"/>
    <x v="84"/>
  </r>
  <r>
    <x v="2"/>
    <x v="2"/>
    <x v="2"/>
    <x v="2"/>
    <x v="29"/>
    <d v="2022-07-15T00:00:00"/>
    <x v="0"/>
    <x v="1"/>
    <x v="1"/>
    <x v="13"/>
    <x v="16"/>
  </r>
  <r>
    <x v="2"/>
    <x v="2"/>
    <x v="2"/>
    <x v="2"/>
    <x v="29"/>
    <d v="2022-07-15T00:00:00"/>
    <x v="0"/>
    <x v="2"/>
    <x v="1"/>
    <x v="13"/>
    <x v="16"/>
  </r>
  <r>
    <x v="2"/>
    <x v="2"/>
    <x v="2"/>
    <x v="2"/>
    <x v="29"/>
    <d v="2022-07-15T00:00:00"/>
    <x v="0"/>
    <x v="3"/>
    <x v="13"/>
    <x v="1"/>
    <x v="80"/>
  </r>
  <r>
    <x v="2"/>
    <x v="2"/>
    <x v="2"/>
    <x v="2"/>
    <x v="29"/>
    <d v="2022-07-15T00:00:00"/>
    <x v="0"/>
    <x v="4"/>
    <x v="1"/>
    <x v="5"/>
    <x v="65"/>
  </r>
  <r>
    <x v="2"/>
    <x v="2"/>
    <x v="2"/>
    <x v="2"/>
    <x v="29"/>
    <d v="2022-07-15T00:00:00"/>
    <x v="0"/>
    <x v="5"/>
    <x v="4"/>
    <x v="19"/>
    <x v="35"/>
  </r>
  <r>
    <x v="2"/>
    <x v="2"/>
    <x v="2"/>
    <x v="2"/>
    <x v="30"/>
    <d v="2022-08-13T00:00:00"/>
    <x v="0"/>
    <x v="0"/>
    <x v="13"/>
    <x v="20"/>
    <x v="72"/>
  </r>
  <r>
    <x v="2"/>
    <x v="2"/>
    <x v="2"/>
    <x v="2"/>
    <x v="30"/>
    <d v="2022-08-13T00:00:00"/>
    <x v="0"/>
    <x v="1"/>
    <x v="1"/>
    <x v="19"/>
    <x v="90"/>
  </r>
  <r>
    <x v="2"/>
    <x v="2"/>
    <x v="2"/>
    <x v="2"/>
    <x v="30"/>
    <d v="2022-08-13T00:00:00"/>
    <x v="0"/>
    <x v="2"/>
    <x v="1"/>
    <x v="13"/>
    <x v="16"/>
  </r>
  <r>
    <x v="2"/>
    <x v="2"/>
    <x v="2"/>
    <x v="2"/>
    <x v="30"/>
    <d v="2022-08-13T00:00:00"/>
    <x v="0"/>
    <x v="3"/>
    <x v="13"/>
    <x v="14"/>
    <x v="74"/>
  </r>
  <r>
    <x v="2"/>
    <x v="2"/>
    <x v="2"/>
    <x v="2"/>
    <x v="30"/>
    <d v="2022-08-13T00:00:00"/>
    <x v="0"/>
    <x v="4"/>
    <x v="1"/>
    <x v="6"/>
    <x v="8"/>
  </r>
  <r>
    <x v="2"/>
    <x v="2"/>
    <x v="2"/>
    <x v="2"/>
    <x v="30"/>
    <d v="2022-08-13T00:00:00"/>
    <x v="0"/>
    <x v="5"/>
    <x v="4"/>
    <x v="6"/>
    <x v="49"/>
  </r>
  <r>
    <x v="2"/>
    <x v="2"/>
    <x v="2"/>
    <x v="2"/>
    <x v="31"/>
    <d v="2022-09-14T00:00:00"/>
    <x v="0"/>
    <x v="0"/>
    <x v="1"/>
    <x v="12"/>
    <x v="78"/>
  </r>
  <r>
    <x v="2"/>
    <x v="2"/>
    <x v="2"/>
    <x v="2"/>
    <x v="31"/>
    <d v="2022-09-14T00:00:00"/>
    <x v="0"/>
    <x v="1"/>
    <x v="2"/>
    <x v="7"/>
    <x v="81"/>
  </r>
  <r>
    <x v="2"/>
    <x v="2"/>
    <x v="2"/>
    <x v="2"/>
    <x v="31"/>
    <d v="2022-09-14T00:00:00"/>
    <x v="0"/>
    <x v="2"/>
    <x v="1"/>
    <x v="4"/>
    <x v="5"/>
  </r>
  <r>
    <x v="2"/>
    <x v="2"/>
    <x v="2"/>
    <x v="2"/>
    <x v="31"/>
    <d v="2022-09-14T00:00:00"/>
    <x v="0"/>
    <x v="3"/>
    <x v="1"/>
    <x v="10"/>
    <x v="85"/>
  </r>
  <r>
    <x v="2"/>
    <x v="2"/>
    <x v="2"/>
    <x v="2"/>
    <x v="31"/>
    <d v="2022-09-14T00:00:00"/>
    <x v="0"/>
    <x v="4"/>
    <x v="3"/>
    <x v="10"/>
    <x v="84"/>
  </r>
  <r>
    <x v="2"/>
    <x v="2"/>
    <x v="2"/>
    <x v="2"/>
    <x v="31"/>
    <d v="2022-09-14T00:00:00"/>
    <x v="0"/>
    <x v="5"/>
    <x v="4"/>
    <x v="14"/>
    <x v="46"/>
  </r>
  <r>
    <x v="2"/>
    <x v="2"/>
    <x v="2"/>
    <x v="2"/>
    <x v="32"/>
    <d v="2022-10-16T00:00:00"/>
    <x v="0"/>
    <x v="0"/>
    <x v="1"/>
    <x v="7"/>
    <x v="9"/>
  </r>
  <r>
    <x v="2"/>
    <x v="2"/>
    <x v="2"/>
    <x v="2"/>
    <x v="32"/>
    <d v="2022-10-16T00:00:00"/>
    <x v="0"/>
    <x v="1"/>
    <x v="2"/>
    <x v="7"/>
    <x v="81"/>
  </r>
  <r>
    <x v="2"/>
    <x v="2"/>
    <x v="2"/>
    <x v="2"/>
    <x v="32"/>
    <d v="2022-10-16T00:00:00"/>
    <x v="0"/>
    <x v="2"/>
    <x v="1"/>
    <x v="6"/>
    <x v="8"/>
  </r>
  <r>
    <x v="2"/>
    <x v="2"/>
    <x v="2"/>
    <x v="2"/>
    <x v="32"/>
    <d v="2022-10-16T00:00:00"/>
    <x v="0"/>
    <x v="3"/>
    <x v="1"/>
    <x v="14"/>
    <x v="12"/>
  </r>
  <r>
    <x v="2"/>
    <x v="2"/>
    <x v="2"/>
    <x v="2"/>
    <x v="32"/>
    <d v="2022-10-16T00:00:00"/>
    <x v="0"/>
    <x v="4"/>
    <x v="3"/>
    <x v="14"/>
    <x v="21"/>
  </r>
  <r>
    <x v="2"/>
    <x v="2"/>
    <x v="2"/>
    <x v="2"/>
    <x v="32"/>
    <d v="2022-10-16T00:00:00"/>
    <x v="0"/>
    <x v="5"/>
    <x v="4"/>
    <x v="6"/>
    <x v="49"/>
  </r>
  <r>
    <x v="2"/>
    <x v="2"/>
    <x v="2"/>
    <x v="2"/>
    <x v="33"/>
    <d v="2022-11-14T00:00:00"/>
    <x v="0"/>
    <x v="0"/>
    <x v="1"/>
    <x v="19"/>
    <x v="90"/>
  </r>
  <r>
    <x v="2"/>
    <x v="2"/>
    <x v="2"/>
    <x v="2"/>
    <x v="33"/>
    <d v="2022-11-14T00:00:00"/>
    <x v="0"/>
    <x v="1"/>
    <x v="2"/>
    <x v="19"/>
    <x v="76"/>
  </r>
  <r>
    <x v="2"/>
    <x v="2"/>
    <x v="2"/>
    <x v="2"/>
    <x v="33"/>
    <d v="2022-11-14T00:00:00"/>
    <x v="0"/>
    <x v="2"/>
    <x v="1"/>
    <x v="14"/>
    <x v="12"/>
  </r>
  <r>
    <x v="2"/>
    <x v="2"/>
    <x v="2"/>
    <x v="2"/>
    <x v="33"/>
    <d v="2022-11-14T00:00:00"/>
    <x v="0"/>
    <x v="3"/>
    <x v="1"/>
    <x v="1"/>
    <x v="2"/>
  </r>
  <r>
    <x v="2"/>
    <x v="2"/>
    <x v="2"/>
    <x v="2"/>
    <x v="33"/>
    <d v="2022-11-14T00:00:00"/>
    <x v="0"/>
    <x v="4"/>
    <x v="3"/>
    <x v="8"/>
    <x v="11"/>
  </r>
  <r>
    <x v="2"/>
    <x v="2"/>
    <x v="2"/>
    <x v="2"/>
    <x v="33"/>
    <d v="2022-11-14T00:00:00"/>
    <x v="0"/>
    <x v="5"/>
    <x v="4"/>
    <x v="14"/>
    <x v="46"/>
  </r>
  <r>
    <x v="2"/>
    <x v="2"/>
    <x v="2"/>
    <x v="2"/>
    <x v="34"/>
    <d v="2022-12-15T00:00:00"/>
    <x v="0"/>
    <x v="0"/>
    <x v="1"/>
    <x v="3"/>
    <x v="83"/>
  </r>
  <r>
    <x v="2"/>
    <x v="2"/>
    <x v="2"/>
    <x v="2"/>
    <x v="34"/>
    <d v="2022-12-15T00:00:00"/>
    <x v="0"/>
    <x v="1"/>
    <x v="2"/>
    <x v="3"/>
    <x v="91"/>
  </r>
  <r>
    <x v="2"/>
    <x v="2"/>
    <x v="2"/>
    <x v="2"/>
    <x v="34"/>
    <d v="2022-12-15T00:00:00"/>
    <x v="0"/>
    <x v="2"/>
    <x v="1"/>
    <x v="10"/>
    <x v="85"/>
  </r>
  <r>
    <x v="2"/>
    <x v="2"/>
    <x v="2"/>
    <x v="2"/>
    <x v="34"/>
    <d v="2022-12-15T00:00:00"/>
    <x v="0"/>
    <x v="3"/>
    <x v="1"/>
    <x v="14"/>
    <x v="12"/>
  </r>
  <r>
    <x v="2"/>
    <x v="2"/>
    <x v="2"/>
    <x v="2"/>
    <x v="34"/>
    <d v="2022-12-15T00:00:00"/>
    <x v="0"/>
    <x v="4"/>
    <x v="3"/>
    <x v="8"/>
    <x v="11"/>
  </r>
  <r>
    <x v="2"/>
    <x v="2"/>
    <x v="2"/>
    <x v="2"/>
    <x v="34"/>
    <d v="2022-12-15T00:00:00"/>
    <x v="0"/>
    <x v="5"/>
    <x v="4"/>
    <x v="6"/>
    <x v="49"/>
  </r>
  <r>
    <x v="2"/>
    <x v="2"/>
    <x v="2"/>
    <x v="2"/>
    <x v="35"/>
    <d v="2023-01-13T00:00:00"/>
    <x v="0"/>
    <x v="0"/>
    <x v="1"/>
    <x v="12"/>
    <x v="78"/>
  </r>
  <r>
    <x v="2"/>
    <x v="2"/>
    <x v="2"/>
    <x v="2"/>
    <x v="35"/>
    <d v="2023-01-13T00:00:00"/>
    <x v="0"/>
    <x v="1"/>
    <x v="2"/>
    <x v="12"/>
    <x v="86"/>
  </r>
  <r>
    <x v="2"/>
    <x v="2"/>
    <x v="2"/>
    <x v="2"/>
    <x v="35"/>
    <d v="2023-01-13T00:00:00"/>
    <x v="0"/>
    <x v="2"/>
    <x v="1"/>
    <x v="6"/>
    <x v="8"/>
  </r>
  <r>
    <x v="2"/>
    <x v="2"/>
    <x v="2"/>
    <x v="2"/>
    <x v="35"/>
    <d v="2023-01-13T00:00:00"/>
    <x v="0"/>
    <x v="3"/>
    <x v="1"/>
    <x v="6"/>
    <x v="8"/>
  </r>
  <r>
    <x v="2"/>
    <x v="2"/>
    <x v="2"/>
    <x v="2"/>
    <x v="35"/>
    <d v="2023-01-13T00:00:00"/>
    <x v="0"/>
    <x v="4"/>
    <x v="3"/>
    <x v="1"/>
    <x v="16"/>
  </r>
  <r>
    <x v="2"/>
    <x v="2"/>
    <x v="2"/>
    <x v="2"/>
    <x v="35"/>
    <d v="2023-01-13T00:00:00"/>
    <x v="0"/>
    <x v="5"/>
    <x v="4"/>
    <x v="4"/>
    <x v="15"/>
  </r>
  <r>
    <x v="3"/>
    <x v="3"/>
    <x v="3"/>
    <x v="3"/>
    <x v="36"/>
    <d v="2022-02-13T00:00:00"/>
    <x v="2"/>
    <x v="0"/>
    <x v="1"/>
    <x v="25"/>
    <x v="92"/>
  </r>
  <r>
    <x v="3"/>
    <x v="3"/>
    <x v="3"/>
    <x v="3"/>
    <x v="36"/>
    <d v="2022-02-13T00:00:00"/>
    <x v="2"/>
    <x v="1"/>
    <x v="1"/>
    <x v="21"/>
    <x v="75"/>
  </r>
  <r>
    <x v="3"/>
    <x v="3"/>
    <x v="3"/>
    <x v="3"/>
    <x v="36"/>
    <d v="2022-02-13T00:00:00"/>
    <x v="2"/>
    <x v="2"/>
    <x v="11"/>
    <x v="21"/>
    <x v="90"/>
  </r>
  <r>
    <x v="3"/>
    <x v="3"/>
    <x v="3"/>
    <x v="3"/>
    <x v="36"/>
    <d v="2022-02-13T00:00:00"/>
    <x v="2"/>
    <x v="3"/>
    <x v="13"/>
    <x v="7"/>
    <x v="79"/>
  </r>
  <r>
    <x v="3"/>
    <x v="3"/>
    <x v="3"/>
    <x v="3"/>
    <x v="36"/>
    <d v="2022-02-13T00:00:00"/>
    <x v="2"/>
    <x v="4"/>
    <x v="3"/>
    <x v="12"/>
    <x v="19"/>
  </r>
  <r>
    <x v="3"/>
    <x v="3"/>
    <x v="3"/>
    <x v="3"/>
    <x v="36"/>
    <d v="2022-02-28T00:00:00"/>
    <x v="2"/>
    <x v="5"/>
    <x v="1"/>
    <x v="21"/>
    <x v="75"/>
  </r>
  <r>
    <x v="3"/>
    <x v="3"/>
    <x v="3"/>
    <x v="3"/>
    <x v="37"/>
    <d v="2022-03-14T00:00:00"/>
    <x v="2"/>
    <x v="0"/>
    <x v="1"/>
    <x v="26"/>
    <x v="93"/>
  </r>
  <r>
    <x v="3"/>
    <x v="3"/>
    <x v="3"/>
    <x v="3"/>
    <x v="37"/>
    <d v="2022-03-14T00:00:00"/>
    <x v="2"/>
    <x v="1"/>
    <x v="1"/>
    <x v="12"/>
    <x v="78"/>
  </r>
  <r>
    <x v="3"/>
    <x v="3"/>
    <x v="3"/>
    <x v="3"/>
    <x v="37"/>
    <d v="2022-03-14T00:00:00"/>
    <x v="2"/>
    <x v="2"/>
    <x v="11"/>
    <x v="20"/>
    <x v="71"/>
  </r>
  <r>
    <x v="3"/>
    <x v="3"/>
    <x v="3"/>
    <x v="3"/>
    <x v="37"/>
    <d v="2022-03-14T00:00:00"/>
    <x v="2"/>
    <x v="3"/>
    <x v="13"/>
    <x v="3"/>
    <x v="94"/>
  </r>
  <r>
    <x v="3"/>
    <x v="3"/>
    <x v="3"/>
    <x v="3"/>
    <x v="37"/>
    <d v="2022-03-29T00:00:00"/>
    <x v="2"/>
    <x v="4"/>
    <x v="3"/>
    <x v="12"/>
    <x v="19"/>
  </r>
  <r>
    <x v="3"/>
    <x v="3"/>
    <x v="3"/>
    <x v="3"/>
    <x v="37"/>
    <d v="2022-03-14T00:00:00"/>
    <x v="2"/>
    <x v="5"/>
    <x v="1"/>
    <x v="21"/>
    <x v="75"/>
  </r>
  <r>
    <x v="3"/>
    <x v="3"/>
    <x v="3"/>
    <x v="3"/>
    <x v="38"/>
    <d v="2022-04-09T00:00:00"/>
    <x v="2"/>
    <x v="0"/>
    <x v="1"/>
    <x v="27"/>
    <x v="95"/>
  </r>
  <r>
    <x v="3"/>
    <x v="3"/>
    <x v="3"/>
    <x v="3"/>
    <x v="38"/>
    <d v="2022-04-09T00:00:00"/>
    <x v="2"/>
    <x v="1"/>
    <x v="1"/>
    <x v="18"/>
    <x v="96"/>
  </r>
  <r>
    <x v="3"/>
    <x v="3"/>
    <x v="3"/>
    <x v="3"/>
    <x v="38"/>
    <d v="2022-04-24T00:00:00"/>
    <x v="2"/>
    <x v="2"/>
    <x v="11"/>
    <x v="20"/>
    <x v="71"/>
  </r>
  <r>
    <x v="3"/>
    <x v="3"/>
    <x v="3"/>
    <x v="3"/>
    <x v="38"/>
    <d v="2022-04-09T00:00:00"/>
    <x v="2"/>
    <x v="3"/>
    <x v="13"/>
    <x v="19"/>
    <x v="11"/>
  </r>
  <r>
    <x v="3"/>
    <x v="3"/>
    <x v="3"/>
    <x v="3"/>
    <x v="38"/>
    <d v="2022-04-09T00:00:00"/>
    <x v="2"/>
    <x v="4"/>
    <x v="3"/>
    <x v="7"/>
    <x v="97"/>
  </r>
  <r>
    <x v="3"/>
    <x v="3"/>
    <x v="3"/>
    <x v="3"/>
    <x v="38"/>
    <d v="2022-04-09T00:00:00"/>
    <x v="2"/>
    <x v="5"/>
    <x v="1"/>
    <x v="20"/>
    <x v="98"/>
  </r>
  <r>
    <x v="3"/>
    <x v="3"/>
    <x v="3"/>
    <x v="3"/>
    <x v="39"/>
    <d v="2022-05-11T00:00:00"/>
    <x v="2"/>
    <x v="0"/>
    <x v="1"/>
    <x v="25"/>
    <x v="92"/>
  </r>
  <r>
    <x v="3"/>
    <x v="3"/>
    <x v="3"/>
    <x v="3"/>
    <x v="39"/>
    <d v="2022-05-11T00:00:00"/>
    <x v="2"/>
    <x v="1"/>
    <x v="1"/>
    <x v="12"/>
    <x v="78"/>
  </r>
  <r>
    <x v="3"/>
    <x v="3"/>
    <x v="3"/>
    <x v="3"/>
    <x v="39"/>
    <d v="2022-05-11T00:00:00"/>
    <x v="2"/>
    <x v="2"/>
    <x v="11"/>
    <x v="12"/>
    <x v="11"/>
  </r>
  <r>
    <x v="3"/>
    <x v="3"/>
    <x v="3"/>
    <x v="3"/>
    <x v="39"/>
    <d v="2022-05-11T00:00:00"/>
    <x v="2"/>
    <x v="3"/>
    <x v="13"/>
    <x v="3"/>
    <x v="94"/>
  </r>
  <r>
    <x v="3"/>
    <x v="3"/>
    <x v="3"/>
    <x v="3"/>
    <x v="39"/>
    <d v="2022-05-11T00:00:00"/>
    <x v="2"/>
    <x v="4"/>
    <x v="3"/>
    <x v="3"/>
    <x v="86"/>
  </r>
  <r>
    <x v="3"/>
    <x v="3"/>
    <x v="3"/>
    <x v="3"/>
    <x v="39"/>
    <d v="2022-05-11T00:00:00"/>
    <x v="2"/>
    <x v="5"/>
    <x v="1"/>
    <x v="20"/>
    <x v="98"/>
  </r>
  <r>
    <x v="3"/>
    <x v="3"/>
    <x v="3"/>
    <x v="3"/>
    <x v="40"/>
    <d v="2022-06-09T00:00:00"/>
    <x v="2"/>
    <x v="0"/>
    <x v="3"/>
    <x v="27"/>
    <x v="99"/>
  </r>
  <r>
    <x v="3"/>
    <x v="3"/>
    <x v="3"/>
    <x v="3"/>
    <x v="40"/>
    <d v="2022-06-09T00:00:00"/>
    <x v="2"/>
    <x v="1"/>
    <x v="2"/>
    <x v="18"/>
    <x v="37"/>
  </r>
  <r>
    <x v="3"/>
    <x v="3"/>
    <x v="3"/>
    <x v="3"/>
    <x v="40"/>
    <d v="2022-06-09T00:00:00"/>
    <x v="2"/>
    <x v="2"/>
    <x v="1"/>
    <x v="12"/>
    <x v="78"/>
  </r>
  <r>
    <x v="3"/>
    <x v="3"/>
    <x v="3"/>
    <x v="3"/>
    <x v="40"/>
    <d v="2022-06-09T00:00:00"/>
    <x v="2"/>
    <x v="3"/>
    <x v="1"/>
    <x v="7"/>
    <x v="9"/>
  </r>
  <r>
    <x v="3"/>
    <x v="3"/>
    <x v="3"/>
    <x v="3"/>
    <x v="40"/>
    <d v="2022-06-09T00:00:00"/>
    <x v="2"/>
    <x v="4"/>
    <x v="3"/>
    <x v="9"/>
    <x v="13"/>
  </r>
  <r>
    <x v="3"/>
    <x v="3"/>
    <x v="3"/>
    <x v="3"/>
    <x v="40"/>
    <d v="2022-06-09T00:00:00"/>
    <x v="2"/>
    <x v="5"/>
    <x v="4"/>
    <x v="21"/>
    <x v="100"/>
  </r>
  <r>
    <x v="3"/>
    <x v="3"/>
    <x v="3"/>
    <x v="3"/>
    <x v="41"/>
    <d v="2022-07-12T00:00:00"/>
    <x v="2"/>
    <x v="0"/>
    <x v="3"/>
    <x v="26"/>
    <x v="101"/>
  </r>
  <r>
    <x v="3"/>
    <x v="3"/>
    <x v="3"/>
    <x v="3"/>
    <x v="41"/>
    <d v="2022-07-12T00:00:00"/>
    <x v="2"/>
    <x v="1"/>
    <x v="2"/>
    <x v="21"/>
    <x v="102"/>
  </r>
  <r>
    <x v="3"/>
    <x v="3"/>
    <x v="3"/>
    <x v="3"/>
    <x v="41"/>
    <d v="2022-07-12T00:00:00"/>
    <x v="2"/>
    <x v="2"/>
    <x v="1"/>
    <x v="18"/>
    <x v="96"/>
  </r>
  <r>
    <x v="3"/>
    <x v="3"/>
    <x v="3"/>
    <x v="3"/>
    <x v="41"/>
    <d v="2022-07-12T00:00:00"/>
    <x v="2"/>
    <x v="3"/>
    <x v="1"/>
    <x v="12"/>
    <x v="78"/>
  </r>
  <r>
    <x v="3"/>
    <x v="3"/>
    <x v="3"/>
    <x v="3"/>
    <x v="41"/>
    <d v="2022-07-12T00:00:00"/>
    <x v="2"/>
    <x v="4"/>
    <x v="3"/>
    <x v="12"/>
    <x v="19"/>
  </r>
  <r>
    <x v="3"/>
    <x v="3"/>
    <x v="3"/>
    <x v="3"/>
    <x v="41"/>
    <d v="2022-07-12T00:00:00"/>
    <x v="2"/>
    <x v="5"/>
    <x v="4"/>
    <x v="28"/>
    <x v="103"/>
  </r>
  <r>
    <x v="3"/>
    <x v="3"/>
    <x v="3"/>
    <x v="3"/>
    <x v="42"/>
    <d v="2022-08-09T00:00:00"/>
    <x v="2"/>
    <x v="0"/>
    <x v="3"/>
    <x v="29"/>
    <x v="104"/>
  </r>
  <r>
    <x v="3"/>
    <x v="3"/>
    <x v="3"/>
    <x v="3"/>
    <x v="42"/>
    <d v="2022-08-09T00:00:00"/>
    <x v="2"/>
    <x v="1"/>
    <x v="2"/>
    <x v="17"/>
    <x v="105"/>
  </r>
  <r>
    <x v="3"/>
    <x v="3"/>
    <x v="3"/>
    <x v="3"/>
    <x v="42"/>
    <d v="2022-08-09T00:00:00"/>
    <x v="2"/>
    <x v="2"/>
    <x v="1"/>
    <x v="20"/>
    <x v="98"/>
  </r>
  <r>
    <x v="3"/>
    <x v="3"/>
    <x v="3"/>
    <x v="3"/>
    <x v="42"/>
    <d v="2022-08-09T00:00:00"/>
    <x v="2"/>
    <x v="3"/>
    <x v="1"/>
    <x v="12"/>
    <x v="78"/>
  </r>
  <r>
    <x v="3"/>
    <x v="3"/>
    <x v="3"/>
    <x v="3"/>
    <x v="42"/>
    <d v="2022-08-09T00:00:00"/>
    <x v="2"/>
    <x v="4"/>
    <x v="3"/>
    <x v="18"/>
    <x v="106"/>
  </r>
  <r>
    <x v="3"/>
    <x v="3"/>
    <x v="3"/>
    <x v="3"/>
    <x v="42"/>
    <d v="2022-08-09T00:00:00"/>
    <x v="2"/>
    <x v="5"/>
    <x v="4"/>
    <x v="22"/>
    <x v="107"/>
  </r>
  <r>
    <x v="3"/>
    <x v="3"/>
    <x v="3"/>
    <x v="3"/>
    <x v="43"/>
    <d v="2022-09-10T00:00:00"/>
    <x v="2"/>
    <x v="0"/>
    <x v="3"/>
    <x v="26"/>
    <x v="101"/>
  </r>
  <r>
    <x v="3"/>
    <x v="3"/>
    <x v="3"/>
    <x v="3"/>
    <x v="43"/>
    <d v="2022-09-10T00:00:00"/>
    <x v="2"/>
    <x v="1"/>
    <x v="2"/>
    <x v="17"/>
    <x v="105"/>
  </r>
  <r>
    <x v="3"/>
    <x v="3"/>
    <x v="3"/>
    <x v="3"/>
    <x v="43"/>
    <d v="2022-09-10T00:00:00"/>
    <x v="2"/>
    <x v="2"/>
    <x v="1"/>
    <x v="20"/>
    <x v="98"/>
  </r>
  <r>
    <x v="3"/>
    <x v="3"/>
    <x v="3"/>
    <x v="3"/>
    <x v="43"/>
    <d v="2022-09-10T00:00:00"/>
    <x v="2"/>
    <x v="3"/>
    <x v="1"/>
    <x v="18"/>
    <x v="96"/>
  </r>
  <r>
    <x v="3"/>
    <x v="3"/>
    <x v="3"/>
    <x v="3"/>
    <x v="43"/>
    <d v="2022-09-10T00:00:00"/>
    <x v="2"/>
    <x v="4"/>
    <x v="3"/>
    <x v="12"/>
    <x v="19"/>
  </r>
  <r>
    <x v="3"/>
    <x v="3"/>
    <x v="3"/>
    <x v="3"/>
    <x v="43"/>
    <d v="2022-09-10T00:00:00"/>
    <x v="2"/>
    <x v="5"/>
    <x v="4"/>
    <x v="30"/>
    <x v="108"/>
  </r>
  <r>
    <x v="3"/>
    <x v="3"/>
    <x v="3"/>
    <x v="3"/>
    <x v="44"/>
    <d v="2022-10-10T00:00:00"/>
    <x v="2"/>
    <x v="0"/>
    <x v="3"/>
    <x v="25"/>
    <x v="109"/>
  </r>
  <r>
    <x v="3"/>
    <x v="3"/>
    <x v="3"/>
    <x v="3"/>
    <x v="44"/>
    <d v="2022-10-10T00:00:00"/>
    <x v="2"/>
    <x v="1"/>
    <x v="2"/>
    <x v="21"/>
    <x v="102"/>
  </r>
  <r>
    <x v="3"/>
    <x v="3"/>
    <x v="3"/>
    <x v="3"/>
    <x v="44"/>
    <d v="2022-10-10T00:00:00"/>
    <x v="2"/>
    <x v="2"/>
    <x v="1"/>
    <x v="18"/>
    <x v="96"/>
  </r>
  <r>
    <x v="3"/>
    <x v="3"/>
    <x v="3"/>
    <x v="3"/>
    <x v="44"/>
    <d v="2022-10-10T00:00:00"/>
    <x v="2"/>
    <x v="3"/>
    <x v="1"/>
    <x v="12"/>
    <x v="78"/>
  </r>
  <r>
    <x v="3"/>
    <x v="3"/>
    <x v="3"/>
    <x v="3"/>
    <x v="44"/>
    <d v="2022-10-10T00:00:00"/>
    <x v="2"/>
    <x v="4"/>
    <x v="3"/>
    <x v="12"/>
    <x v="19"/>
  </r>
  <r>
    <x v="3"/>
    <x v="3"/>
    <x v="3"/>
    <x v="3"/>
    <x v="44"/>
    <d v="2022-10-10T00:00:00"/>
    <x v="2"/>
    <x v="5"/>
    <x v="4"/>
    <x v="21"/>
    <x v="100"/>
  </r>
  <r>
    <x v="3"/>
    <x v="3"/>
    <x v="3"/>
    <x v="3"/>
    <x v="45"/>
    <d v="2022-11-11T00:00:00"/>
    <x v="2"/>
    <x v="0"/>
    <x v="4"/>
    <x v="31"/>
    <x v="110"/>
  </r>
  <r>
    <x v="3"/>
    <x v="3"/>
    <x v="3"/>
    <x v="3"/>
    <x v="45"/>
    <d v="2022-11-11T00:00:00"/>
    <x v="2"/>
    <x v="1"/>
    <x v="2"/>
    <x v="21"/>
    <x v="102"/>
  </r>
  <r>
    <x v="3"/>
    <x v="3"/>
    <x v="3"/>
    <x v="3"/>
    <x v="45"/>
    <d v="2022-11-11T00:00:00"/>
    <x v="2"/>
    <x v="2"/>
    <x v="2"/>
    <x v="12"/>
    <x v="86"/>
  </r>
  <r>
    <x v="3"/>
    <x v="3"/>
    <x v="3"/>
    <x v="3"/>
    <x v="45"/>
    <d v="2022-11-11T00:00:00"/>
    <x v="2"/>
    <x v="3"/>
    <x v="2"/>
    <x v="9"/>
    <x v="42"/>
  </r>
  <r>
    <x v="3"/>
    <x v="3"/>
    <x v="3"/>
    <x v="3"/>
    <x v="45"/>
    <d v="2022-11-11T00:00:00"/>
    <x v="2"/>
    <x v="4"/>
    <x v="4"/>
    <x v="9"/>
    <x v="29"/>
  </r>
  <r>
    <x v="3"/>
    <x v="3"/>
    <x v="3"/>
    <x v="3"/>
    <x v="45"/>
    <d v="2022-11-11T00:00:00"/>
    <x v="2"/>
    <x v="5"/>
    <x v="14"/>
    <x v="21"/>
    <x v="27"/>
  </r>
  <r>
    <x v="3"/>
    <x v="3"/>
    <x v="3"/>
    <x v="3"/>
    <x v="46"/>
    <d v="2022-12-11T00:00:00"/>
    <x v="2"/>
    <x v="0"/>
    <x v="4"/>
    <x v="32"/>
    <x v="111"/>
  </r>
  <r>
    <x v="3"/>
    <x v="3"/>
    <x v="3"/>
    <x v="3"/>
    <x v="46"/>
    <d v="2022-12-11T00:00:00"/>
    <x v="2"/>
    <x v="1"/>
    <x v="2"/>
    <x v="16"/>
    <x v="25"/>
  </r>
  <r>
    <x v="3"/>
    <x v="3"/>
    <x v="3"/>
    <x v="3"/>
    <x v="46"/>
    <d v="2022-12-11T00:00:00"/>
    <x v="2"/>
    <x v="2"/>
    <x v="2"/>
    <x v="33"/>
    <x v="112"/>
  </r>
  <r>
    <x v="3"/>
    <x v="3"/>
    <x v="3"/>
    <x v="3"/>
    <x v="46"/>
    <d v="2022-12-11T00:00:00"/>
    <x v="2"/>
    <x v="3"/>
    <x v="2"/>
    <x v="12"/>
    <x v="86"/>
  </r>
  <r>
    <x v="3"/>
    <x v="3"/>
    <x v="3"/>
    <x v="3"/>
    <x v="46"/>
    <d v="2022-12-11T00:00:00"/>
    <x v="2"/>
    <x v="4"/>
    <x v="4"/>
    <x v="9"/>
    <x v="29"/>
  </r>
  <r>
    <x v="3"/>
    <x v="3"/>
    <x v="3"/>
    <x v="3"/>
    <x v="46"/>
    <d v="2022-12-11T00:00:00"/>
    <x v="2"/>
    <x v="5"/>
    <x v="14"/>
    <x v="16"/>
    <x v="103"/>
  </r>
  <r>
    <x v="3"/>
    <x v="3"/>
    <x v="3"/>
    <x v="3"/>
    <x v="47"/>
    <d v="2023-01-09T00:00:00"/>
    <x v="2"/>
    <x v="0"/>
    <x v="4"/>
    <x v="25"/>
    <x v="113"/>
  </r>
  <r>
    <x v="3"/>
    <x v="3"/>
    <x v="3"/>
    <x v="3"/>
    <x v="47"/>
    <d v="2023-01-09T00:00:00"/>
    <x v="2"/>
    <x v="1"/>
    <x v="2"/>
    <x v="21"/>
    <x v="102"/>
  </r>
  <r>
    <x v="3"/>
    <x v="3"/>
    <x v="3"/>
    <x v="3"/>
    <x v="47"/>
    <d v="2023-01-09T00:00:00"/>
    <x v="2"/>
    <x v="2"/>
    <x v="2"/>
    <x v="20"/>
    <x v="114"/>
  </r>
  <r>
    <x v="3"/>
    <x v="3"/>
    <x v="3"/>
    <x v="3"/>
    <x v="47"/>
    <d v="2023-01-09T00:00:00"/>
    <x v="2"/>
    <x v="3"/>
    <x v="2"/>
    <x v="12"/>
    <x v="86"/>
  </r>
  <r>
    <x v="3"/>
    <x v="3"/>
    <x v="3"/>
    <x v="3"/>
    <x v="47"/>
    <d v="2023-01-09T00:00:00"/>
    <x v="2"/>
    <x v="4"/>
    <x v="4"/>
    <x v="12"/>
    <x v="24"/>
  </r>
  <r>
    <x v="3"/>
    <x v="3"/>
    <x v="3"/>
    <x v="3"/>
    <x v="47"/>
    <d v="2023-01-09T00:00:00"/>
    <x v="2"/>
    <x v="5"/>
    <x v="14"/>
    <x v="21"/>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fieldListSortAscending="1">
  <location ref="A102:H107" firstHeaderRow="1" firstDataRow="2" firstDataCol="1"/>
  <pivotFields count="13">
    <pivotField showAll="0"/>
    <pivotField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axis="axisRow" showAll="0">
      <items count="4">
        <item x="2"/>
        <item x="1"/>
        <item x="0"/>
        <item t="default"/>
      </items>
    </pivotField>
    <pivotField axis="axisCol" showAll="0">
      <items count="7">
        <item x="0"/>
        <item x="5"/>
        <item x="1"/>
        <item x="3"/>
        <item x="4"/>
        <item x="2"/>
        <item t="default"/>
      </items>
    </pivotField>
    <pivotField showAll="0"/>
    <pivotField dataField="1"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7"/>
  </colFields>
  <colItems count="7">
    <i>
      <x/>
    </i>
    <i>
      <x v="1"/>
    </i>
    <i>
      <x v="2"/>
    </i>
    <i>
      <x v="3"/>
    </i>
    <i>
      <x v="4"/>
    </i>
    <i>
      <x v="5"/>
    </i>
    <i t="grand">
      <x/>
    </i>
  </colItems>
  <dataFields count="1">
    <dataField name="Sum of Units Sold" fld="9" baseField="0" baseItem="0"/>
  </dataFields>
  <chartFormats count="21">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4" format="2" series="1">
      <pivotArea type="data" outline="0" fieldPosition="0">
        <references count="2">
          <reference field="4294967294" count="1" selected="0">
            <x v="0"/>
          </reference>
          <reference field="7" count="1" selected="0">
            <x v="2"/>
          </reference>
        </references>
      </pivotArea>
    </chartFormat>
    <chartFormat chart="4" format="3" series="1">
      <pivotArea type="data" outline="0" fieldPosition="0">
        <references count="2">
          <reference field="4294967294" count="1" selected="0">
            <x v="0"/>
          </reference>
          <reference field="7" count="1" selected="0">
            <x v="3"/>
          </reference>
        </references>
      </pivotArea>
    </chartFormat>
    <chartFormat chart="4" format="4" series="1">
      <pivotArea type="data" outline="0" fieldPosition="0">
        <references count="2">
          <reference field="4294967294" count="1" selected="0">
            <x v="0"/>
          </reference>
          <reference field="7" count="1" selected="0">
            <x v="4"/>
          </reference>
        </references>
      </pivotArea>
    </chartFormat>
    <chartFormat chart="4" format="5" series="1">
      <pivotArea type="data" outline="0" fieldPosition="0">
        <references count="2">
          <reference field="4294967294" count="1" selected="0">
            <x v="0"/>
          </reference>
          <reference field="7" count="1" selected="0">
            <x v="5"/>
          </reference>
        </references>
      </pivotArea>
    </chartFormat>
    <chartFormat chart="10" format="12" series="1">
      <pivotArea type="data" outline="0" fieldPosition="0">
        <references count="2">
          <reference field="4294967294" count="1" selected="0">
            <x v="0"/>
          </reference>
          <reference field="7" count="1" selected="0">
            <x v="0"/>
          </reference>
        </references>
      </pivotArea>
    </chartFormat>
    <chartFormat chart="10" format="13" series="1">
      <pivotArea type="data" outline="0" fieldPosition="0">
        <references count="2">
          <reference field="4294967294" count="1" selected="0">
            <x v="0"/>
          </reference>
          <reference field="7" count="1" selected="0">
            <x v="1"/>
          </reference>
        </references>
      </pivotArea>
    </chartFormat>
    <chartFormat chart="10" format="14" series="1">
      <pivotArea type="data" outline="0" fieldPosition="0">
        <references count="2">
          <reference field="4294967294" count="1" selected="0">
            <x v="0"/>
          </reference>
          <reference field="7" count="1" selected="0">
            <x v="2"/>
          </reference>
        </references>
      </pivotArea>
    </chartFormat>
    <chartFormat chart="10" format="15" series="1">
      <pivotArea type="data" outline="0" fieldPosition="0">
        <references count="2">
          <reference field="4294967294" count="1" selected="0">
            <x v="0"/>
          </reference>
          <reference field="7" count="1" selected="0">
            <x v="3"/>
          </reference>
        </references>
      </pivotArea>
    </chartFormat>
    <chartFormat chart="10" format="16" series="1">
      <pivotArea type="data" outline="0" fieldPosition="0">
        <references count="2">
          <reference field="4294967294" count="1" selected="0">
            <x v="0"/>
          </reference>
          <reference field="7" count="1" selected="0">
            <x v="4"/>
          </reference>
        </references>
      </pivotArea>
    </chartFormat>
    <chartFormat chart="10" format="17" series="1">
      <pivotArea type="data" outline="0" fieldPosition="0">
        <references count="2">
          <reference field="4294967294" count="1" selected="0">
            <x v="0"/>
          </reference>
          <reference field="7" count="1" selected="0">
            <x v="5"/>
          </reference>
        </references>
      </pivotArea>
    </chartFormat>
    <chartFormat chart="10" format="18"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0" fieldListSortAscending="1">
  <location ref="A91:F96" firstHeaderRow="1" firstDataRow="2" firstDataCol="1"/>
  <pivotFields count="13">
    <pivotField showAll="0"/>
    <pivotField axis="axisCol"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axis="axisRow" showAll="0">
      <items count="4">
        <item x="2"/>
        <item x="1"/>
        <item x="0"/>
        <item t="default"/>
      </items>
    </pivotField>
    <pivotField showAll="0">
      <items count="7">
        <item x="0"/>
        <item x="5"/>
        <item x="1"/>
        <item x="3"/>
        <item x="4"/>
        <item x="2"/>
        <item t="default"/>
      </items>
    </pivotField>
    <pivotField showAll="0"/>
    <pivotField dataField="1"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1"/>
  </colFields>
  <colItems count="5">
    <i>
      <x/>
    </i>
    <i>
      <x v="1"/>
    </i>
    <i>
      <x v="2"/>
    </i>
    <i>
      <x v="3"/>
    </i>
    <i t="grand">
      <x/>
    </i>
  </colItems>
  <dataFields count="1">
    <dataField name="Sum of Units Sold" fld="9" baseField="0" baseItem="0"/>
  </dataFields>
  <chartFormats count="10">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 chart="9" format="10" series="1">
      <pivotArea type="data" outline="0" fieldPosition="0">
        <references count="2">
          <reference field="4294967294" count="1" selected="0">
            <x v="0"/>
          </reference>
          <reference field="1" count="1" selected="0">
            <x v="2"/>
          </reference>
        </references>
      </pivotArea>
    </chartFormat>
    <chartFormat chart="9" format="11" series="1">
      <pivotArea type="data" outline="0" fieldPosition="0">
        <references count="2">
          <reference field="4294967294" count="1" selected="0">
            <x v="0"/>
          </reference>
          <reference field="1" count="1" selected="0">
            <x v="3"/>
          </reference>
        </references>
      </pivotArea>
    </chartFormat>
    <chartFormat chart="9" format="1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fieldListSortAscending="1">
  <location ref="A4:D9" firstHeaderRow="0" firstDataRow="1" firstDataCol="1"/>
  <pivotFields count="13">
    <pivotField showAll="0"/>
    <pivotField axis="axisRow"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items count="4">
        <item x="2"/>
        <item x="1"/>
        <item x="0"/>
        <item t="default"/>
      </items>
    </pivotField>
    <pivotField showAll="0">
      <items count="7">
        <item x="0"/>
        <item x="5"/>
        <item x="1"/>
        <item x="3"/>
        <item x="4"/>
        <item x="2"/>
        <item t="default"/>
      </items>
    </pivotField>
    <pivotField dataField="1" showAll="0"/>
    <pivotField dataField="1" showAll="0"/>
    <pivotField dataField="1"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3">
    <i>
      <x/>
    </i>
    <i i="1">
      <x v="1"/>
    </i>
    <i i="2">
      <x v="2"/>
    </i>
  </colItems>
  <dataFields count="3">
    <dataField name="Sum of Price per Unit" fld="8" baseField="0" baseItem="0"/>
    <dataField name="Sum of Units Sold" fld="9" baseField="0" baseItem="0"/>
    <dataField name="Sum of Revenue" fld="10" baseField="1" baseItem="2" numFmtId="16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A34:F84" firstHeaderRow="1" firstDataRow="2" firstDataCol="1"/>
  <pivotFields count="13">
    <pivotField showAll="0"/>
    <pivotField axis="axisCol" showAll="0">
      <items count="5">
        <item x="0"/>
        <item x="1"/>
        <item x="2"/>
        <item x="3"/>
        <item t="default"/>
      </items>
    </pivotField>
    <pivotField showAll="0"/>
    <pivotField showAll="0"/>
    <pivotField axis="axisRow"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pivotField showAll="0">
      <items count="7">
        <item x="0"/>
        <item x="5"/>
        <item x="1"/>
        <item x="3"/>
        <item x="4"/>
        <item x="2"/>
        <item t="default"/>
      </items>
    </pivotField>
    <pivotField showAll="0"/>
    <pivotField dataField="1"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1"/>
  </colFields>
  <colItems count="5">
    <i>
      <x/>
    </i>
    <i>
      <x v="1"/>
    </i>
    <i>
      <x v="2"/>
    </i>
    <i>
      <x v="3"/>
    </i>
    <i t="grand">
      <x/>
    </i>
  </colItems>
  <dataFields count="1">
    <dataField name="Sum of Units Sold" fld="9" baseField="0" baseItem="0"/>
  </dataFields>
  <chartFormats count="20">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 chart="10" format="16" series="1">
      <pivotArea type="data" outline="0" fieldPosition="0">
        <references count="2">
          <reference field="4294967294" count="1" selected="0">
            <x v="0"/>
          </reference>
          <reference field="1" count="1" selected="0">
            <x v="0"/>
          </reference>
        </references>
      </pivotArea>
    </chartFormat>
    <chartFormat chart="10" format="17" series="1">
      <pivotArea type="data" outline="0" fieldPosition="0">
        <references count="2">
          <reference field="4294967294" count="1" selected="0">
            <x v="0"/>
          </reference>
          <reference field="1" count="1" selected="0">
            <x v="1"/>
          </reference>
        </references>
      </pivotArea>
    </chartFormat>
    <chartFormat chart="10" format="18" series="1">
      <pivotArea type="data" outline="0" fieldPosition="0">
        <references count="2">
          <reference field="4294967294" count="1" selected="0">
            <x v="0"/>
          </reference>
          <reference field="1" count="1" selected="0">
            <x v="2"/>
          </reference>
        </references>
      </pivotArea>
    </chartFormat>
    <chartFormat chart="10" format="19"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0" fieldListSortAscending="1">
  <location ref="K3:L8" firstHeaderRow="1" firstDataRow="1" firstDataCol="1"/>
  <pivotFields count="13">
    <pivotField showAll="0"/>
    <pivotField axis="axisRow"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items count="4">
        <item x="2"/>
        <item x="1"/>
        <item x="0"/>
        <item t="default"/>
      </items>
    </pivotField>
    <pivotField showAll="0">
      <items count="7">
        <item x="0"/>
        <item x="5"/>
        <item x="1"/>
        <item x="3"/>
        <item x="4"/>
        <item x="2"/>
        <item t="default"/>
      </items>
    </pivotField>
    <pivotField showAll="0"/>
    <pivotField showAll="0"/>
    <pivotField dataField="1"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Revenue" fld="10" baseField="1" baseItem="2" numFmtId="164"/>
  </dataFields>
  <chartFormats count="11">
    <chartFormat chart="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19" format="9">
      <pivotArea type="data" outline="0" fieldPosition="0">
        <references count="2">
          <reference field="4294967294" count="1" selected="0">
            <x v="0"/>
          </reference>
          <reference field="1" count="1" selected="0">
            <x v="2"/>
          </reference>
        </references>
      </pivotArea>
    </chartFormat>
    <chartFormat chart="19" format="10">
      <pivotArea type="data" outline="0" fieldPosition="0">
        <references count="2">
          <reference field="4294967294" count="1" selected="0">
            <x v="0"/>
          </reference>
          <reference field="1" count="1" selected="0">
            <x v="3"/>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1" format="3">
      <pivotArea type="data" outline="0" fieldPosition="0">
        <references count="2">
          <reference field="4294967294" count="1" selected="0">
            <x v="0"/>
          </reference>
          <reference field="1" count="1" selected="0">
            <x v="2"/>
          </reference>
        </references>
      </pivotArea>
    </chartFormat>
    <chartFormat chart="1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fieldListSortAscending="1">
  <location ref="A166:F174" firstHeaderRow="1" firstDataRow="2" firstDataCol="1"/>
  <pivotFields count="13">
    <pivotField showAll="0">
      <items count="5">
        <item x="0"/>
        <item x="1"/>
        <item x="2"/>
        <item x="3"/>
        <item t="default"/>
      </items>
    </pivotField>
    <pivotField axis="axisCol"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items count="4">
        <item x="2"/>
        <item x="1"/>
        <item x="0"/>
        <item t="default"/>
      </items>
    </pivotField>
    <pivotField axis="axisRow" showAll="0">
      <items count="7">
        <item x="0"/>
        <item x="5"/>
        <item x="1"/>
        <item x="3"/>
        <item x="4"/>
        <item x="2"/>
        <item t="default"/>
      </items>
    </pivotField>
    <pivotField showAll="0"/>
    <pivotField dataField="1"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Fields count="1">
    <field x="1"/>
  </colFields>
  <colItems count="5">
    <i>
      <x/>
    </i>
    <i>
      <x v="1"/>
    </i>
    <i>
      <x v="2"/>
    </i>
    <i>
      <x v="3"/>
    </i>
    <i t="grand">
      <x/>
    </i>
  </colItems>
  <dataFields count="1">
    <dataField name="Sum of Units Sold" fld="9" baseField="0" baseItem="0"/>
  </dataFields>
  <chartFormats count="18">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2">
          <reference field="4294967294" count="1" selected="0">
            <x v="0"/>
          </reference>
          <reference field="1" count="1" selected="0">
            <x v="2"/>
          </reference>
        </references>
      </pivotArea>
    </chartFormat>
    <chartFormat chart="6" format="7" series="1">
      <pivotArea type="data" outline="0" fieldPosition="0">
        <references count="2">
          <reference field="4294967294" count="1" selected="0">
            <x v="0"/>
          </reference>
          <reference field="1" count="1" selected="0">
            <x v="3"/>
          </reference>
        </references>
      </pivotArea>
    </chartFormat>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2">
          <reference field="4294967294" count="1" selected="0">
            <x v="0"/>
          </reference>
          <reference field="1" count="1" selected="0">
            <x v="2"/>
          </reference>
        </references>
      </pivotArea>
    </chartFormat>
    <chartFormat chart="8" format="11" series="1">
      <pivotArea type="data" outline="0" fieldPosition="0">
        <references count="2">
          <reference field="4294967294" count="1" selected="0">
            <x v="0"/>
          </reference>
          <reference field="1" count="1" selected="0">
            <x v="3"/>
          </reference>
        </references>
      </pivotArea>
    </chartFormat>
    <chartFormat chart="8" format="1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80:B187" firstHeaderRow="1" firstDataRow="1" firstDataCol="1"/>
  <pivotFields count="13">
    <pivotField showAll="0">
      <items count="5">
        <item x="0"/>
        <item x="1"/>
        <item x="2"/>
        <item x="3"/>
        <item t="default"/>
      </items>
    </pivotField>
    <pivotField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items count="4">
        <item x="2"/>
        <item x="1"/>
        <item x="0"/>
        <item t="default"/>
      </items>
    </pivotField>
    <pivotField axis="axisRow" showAll="0">
      <items count="7">
        <item x="0"/>
        <item x="5"/>
        <item x="1"/>
        <item x="3"/>
        <item x="4"/>
        <item x="2"/>
        <item t="default"/>
      </items>
    </pivotField>
    <pivotField showAll="0"/>
    <pivotField showAll="0"/>
    <pivotField dataField="1"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fieldListSortAscending="1">
  <location ref="A134:B141" firstHeaderRow="1" firstDataRow="1" firstDataCol="1"/>
  <pivotFields count="13">
    <pivotField showAll="0">
      <items count="5">
        <item x="0"/>
        <item x="1"/>
        <item x="2"/>
        <item x="3"/>
        <item t="default"/>
      </items>
    </pivotField>
    <pivotField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items count="4">
        <item x="2"/>
        <item x="1"/>
        <item x="0"/>
        <item t="default"/>
      </items>
    </pivotField>
    <pivotField axis="axisRow" showAll="0">
      <items count="7">
        <item x="0"/>
        <item x="5"/>
        <item x="1"/>
        <item x="3"/>
        <item x="4"/>
        <item x="2"/>
        <item t="default"/>
      </items>
    </pivotField>
    <pivotField dataField="1" showAll="0"/>
    <pivotField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Max of Price per Unit" fld="8" subtotal="max"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fieldListSortAscending="1">
  <location ref="A124:B129" firstHeaderRow="1" firstDataRow="1" firstDataCol="1"/>
  <pivotFields count="13">
    <pivotField showAll="0">
      <items count="5">
        <item x="0"/>
        <item x="1"/>
        <item x="2"/>
        <item x="3"/>
        <item t="default"/>
      </items>
    </pivotField>
    <pivotField axis="axisRow" showAll="0">
      <items count="5">
        <item x="0"/>
        <item x="1"/>
        <item x="2"/>
        <item x="3"/>
        <item t="default"/>
      </items>
    </pivotField>
    <pivotField dataField="1"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items count="4">
        <item x="2"/>
        <item x="1"/>
        <item x="0"/>
        <item t="default"/>
      </items>
    </pivotField>
    <pivotField showAll="0">
      <items count="7">
        <item x="0"/>
        <item x="5"/>
        <item x="1"/>
        <item x="3"/>
        <item x="4"/>
        <item x="2"/>
        <item t="default"/>
      </items>
    </pivotField>
    <pivotField showAll="0"/>
    <pivotField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Count of Contact" fld="2"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fieldListSortAscending="1">
  <location ref="A12:B19" firstHeaderRow="1" firstDataRow="1" firstDataCol="1"/>
  <pivotFields count="13">
    <pivotField showAll="0"/>
    <pivotField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pivotField axis="axisRow" showAll="0">
      <items count="7">
        <item x="0"/>
        <item x="5"/>
        <item x="1"/>
        <item x="3"/>
        <item x="4"/>
        <item x="2"/>
        <item t="default"/>
      </items>
    </pivotField>
    <pivotField showAll="0"/>
    <pivotField dataField="1"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Units Sold" fld="9" baseField="0" baseItem="0"/>
  </dataFields>
  <chartFormats count="1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5"/>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5"/>
          </reference>
        </references>
      </pivotArea>
    </chartFormat>
    <chartFormat chart="7" format="6">
      <pivotArea type="data" outline="0" fieldPosition="0">
        <references count="2">
          <reference field="4294967294" count="1" selected="0">
            <x v="0"/>
          </reference>
          <reference field="7" count="1" selected="0">
            <x v="3"/>
          </reference>
        </references>
      </pivotArea>
    </chartFormat>
    <chartFormat chart="7" format="7">
      <pivotArea type="data" outline="0" fieldPosition="0">
        <references count="2">
          <reference field="4294967294" count="1" selected="0">
            <x v="0"/>
          </reference>
          <reference field="7" count="1" selected="0">
            <x v="2"/>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7" count="1" selected="0">
            <x v="5"/>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7" count="1" selected="0">
            <x v="5"/>
          </reference>
        </references>
      </pivotArea>
    </chartFormat>
    <chartFormat chart="10" format="6">
      <pivotArea type="data" outline="0" fieldPosition="0">
        <references count="2">
          <reference field="4294967294" count="1" selected="0">
            <x v="0"/>
          </reference>
          <reference field="7" count="1" selected="0">
            <x v="4"/>
          </reference>
        </references>
      </pivotArea>
    </chartFormat>
    <chartFormat chart="10" format="7">
      <pivotArea type="data" outline="0" fieldPosition="0">
        <references count="2">
          <reference field="4294967294" count="1" selected="0">
            <x v="0"/>
          </reference>
          <reference field="7" count="1" selected="0">
            <x v="3"/>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fieldListSortAscending="1">
  <location ref="A113:B118" firstHeaderRow="1" firstDataRow="1" firstDataCol="1"/>
  <pivotFields count="13">
    <pivotField axis="axisRow" showAll="0">
      <items count="5">
        <item x="0"/>
        <item x="1"/>
        <item x="2"/>
        <item x="3"/>
        <item t="default"/>
      </items>
    </pivotField>
    <pivotField showAll="0">
      <items count="5">
        <item x="0"/>
        <item x="1"/>
        <item x="2"/>
        <item x="3"/>
        <item t="default"/>
      </items>
    </pivotField>
    <pivotField showAll="0"/>
    <pivotField dataField="1"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items count="4">
        <item x="2"/>
        <item x="1"/>
        <item x="0"/>
        <item t="default"/>
      </items>
    </pivotField>
    <pivotField showAll="0">
      <items count="7">
        <item x="0"/>
        <item x="5"/>
        <item x="1"/>
        <item x="3"/>
        <item x="4"/>
        <item x="2"/>
        <item t="default"/>
      </items>
    </pivotField>
    <pivotField showAll="0"/>
    <pivotField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Items count="1">
    <i/>
  </colItems>
  <dataFields count="1">
    <dataField name="Count of Retailer ID" fld="3" subtotal="count"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fieldListSortAscending="1">
  <location ref="A152:B159" firstHeaderRow="1" firstDataRow="1" firstDataCol="1"/>
  <pivotFields count="13">
    <pivotField showAll="0">
      <items count="5">
        <item x="0"/>
        <item x="1"/>
        <item x="2"/>
        <item x="3"/>
        <item t="default"/>
      </items>
    </pivotField>
    <pivotField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items count="4">
        <item x="2"/>
        <item x="1"/>
        <item x="0"/>
        <item t="default"/>
      </items>
    </pivotField>
    <pivotField axis="axisRow" showAll="0">
      <items count="7">
        <item x="0"/>
        <item x="5"/>
        <item x="1"/>
        <item x="3"/>
        <item x="4"/>
        <item x="2"/>
        <item t="default"/>
      </items>
    </pivotField>
    <pivotField dataField="1" showAll="0"/>
    <pivotField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Average of Price per Unit" fld="8"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22:B29" firstHeaderRow="1" firstDataRow="1" firstDataCol="1"/>
  <pivotFields count="13">
    <pivotField showAll="0"/>
    <pivotField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pivotField axis="axisRow" showAll="0">
      <items count="7">
        <item x="0"/>
        <item x="5"/>
        <item x="1"/>
        <item x="3"/>
        <item x="4"/>
        <item x="2"/>
        <item t="default"/>
      </items>
    </pivotField>
    <pivotField dataField="1" showAll="0"/>
    <pivotField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Average of Price per Unit" fld="8" subtotal="average" baseField="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fieldListSortAscending="1">
  <location ref="A143:B150" firstHeaderRow="1" firstDataRow="1" firstDataCol="1"/>
  <pivotFields count="13">
    <pivotField showAll="0">
      <items count="5">
        <item x="0"/>
        <item x="1"/>
        <item x="2"/>
        <item x="3"/>
        <item t="default"/>
      </items>
    </pivotField>
    <pivotField showAll="0">
      <items count="5">
        <item x="0"/>
        <item x="1"/>
        <item x="2"/>
        <item x="3"/>
        <item t="default"/>
      </items>
    </pivotField>
    <pivotField showAll="0"/>
    <pivotField showAll="0"/>
    <pivotField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showAll="0"/>
    <pivotField showAll="0">
      <items count="4">
        <item x="2"/>
        <item x="1"/>
        <item x="0"/>
        <item t="default"/>
      </items>
    </pivotField>
    <pivotField axis="axisRow" showAll="0">
      <items count="7">
        <item x="0"/>
        <item x="5"/>
        <item x="1"/>
        <item x="3"/>
        <item x="4"/>
        <item x="2"/>
        <item t="default"/>
      </items>
    </pivotField>
    <pivotField dataField="1" showAll="0"/>
    <pivotField showAll="0"/>
    <pivotField showAll="0">
      <items count="116">
        <item x="59"/>
        <item x="55"/>
        <item x="58"/>
        <item x="54"/>
        <item x="51"/>
        <item x="57"/>
        <item x="61"/>
        <item x="53"/>
        <item x="87"/>
        <item x="65"/>
        <item x="64"/>
        <item x="82"/>
        <item x="62"/>
        <item x="60"/>
        <item x="63"/>
        <item x="69"/>
        <item x="7"/>
        <item x="67"/>
        <item x="70"/>
        <item x="80"/>
        <item x="6"/>
        <item x="74"/>
        <item x="56"/>
        <item x="73"/>
        <item x="88"/>
        <item x="0"/>
        <item x="2"/>
        <item x="52"/>
        <item x="3"/>
        <item x="66"/>
        <item x="12"/>
        <item x="4"/>
        <item x="85"/>
        <item x="17"/>
        <item x="8"/>
        <item x="22"/>
        <item x="11"/>
        <item x="5"/>
        <item x="68"/>
        <item x="94"/>
        <item x="45"/>
        <item x="26"/>
        <item x="16"/>
        <item x="71"/>
        <item x="79"/>
        <item x="44"/>
        <item x="1"/>
        <item x="21"/>
        <item x="40"/>
        <item x="90"/>
        <item x="84"/>
        <item x="89"/>
        <item x="83"/>
        <item x="77"/>
        <item x="10"/>
        <item x="46"/>
        <item x="9"/>
        <item x="39"/>
        <item x="72"/>
        <item x="30"/>
        <item x="14"/>
        <item x="76"/>
        <item x="78"/>
        <item x="91"/>
        <item x="49"/>
        <item x="96"/>
        <item x="81"/>
        <item x="15"/>
        <item x="98"/>
        <item x="42"/>
        <item x="20"/>
        <item x="47"/>
        <item x="86"/>
        <item x="75"/>
        <item x="31"/>
        <item x="112"/>
        <item x="37"/>
        <item x="97"/>
        <item x="35"/>
        <item x="114"/>
        <item x="13"/>
        <item x="43"/>
        <item x="25"/>
        <item x="19"/>
        <item x="41"/>
        <item x="102"/>
        <item x="106"/>
        <item x="38"/>
        <item x="18"/>
        <item x="50"/>
        <item x="36"/>
        <item x="105"/>
        <item x="29"/>
        <item x="23"/>
        <item x="24"/>
        <item x="48"/>
        <item x="92"/>
        <item x="95"/>
        <item x="28"/>
        <item x="32"/>
        <item x="93"/>
        <item x="33"/>
        <item x="34"/>
        <item x="100"/>
        <item x="103"/>
        <item x="108"/>
        <item x="27"/>
        <item x="107"/>
        <item x="109"/>
        <item x="99"/>
        <item x="111"/>
        <item x="101"/>
        <item x="110"/>
        <item x="104"/>
        <item x="1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Min of Price per Unit" fld="8" subtotal="min"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__State" sourceName="Region--State">
  <pivotTables>
    <pivotTable tabId="2" name="PivotTable15"/>
    <pivotTable tabId="2" name="PivotTable1"/>
    <pivotTable tabId="2" name="PivotTable10"/>
    <pivotTable tabId="2" name="PivotTable12"/>
    <pivotTable tabId="2" name="PivotTable13"/>
    <pivotTable tabId="2" name="PivotTable5"/>
    <pivotTable tabId="2" name="PivotTable6"/>
    <pivotTable tabId="2" name="PivotTable7"/>
    <pivotTable tabId="2" name="PivotTable8"/>
    <pivotTable tabId="2" name="PivotTable9"/>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tailer" sourceName="Retailer">
  <pivotTables>
    <pivotTable tabId="2" name="PivotTable15"/>
    <pivotTable tabId="2" name="PivotTable1"/>
    <pivotTable tabId="2" name="PivotTable10"/>
    <pivotTable tabId="2" name="PivotTable12"/>
    <pivotTable tabId="2" name="PivotTable13"/>
    <pivotTable tabId="2" name="PivotTable5"/>
    <pivotTable tabId="2" name="PivotTable6"/>
    <pivotTable tabId="2" name="PivotTable7"/>
    <pivotTable tabId="2" name="PivotTable8"/>
    <pivotTable tabId="2" name="PivotTable9"/>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everage_Brand1" sourceName="Beverage Brand">
  <pivotTables>
    <pivotTable tabId="2" name="PivotTable2"/>
    <pivotTable tabId="2" name="PivotTable9"/>
    <pivotTable tabId="2" name="PivotTable8"/>
    <pivotTable tabId="2" name="PivotTable7"/>
    <pivotTable tabId="2" name="PivotTable6"/>
    <pivotTable tabId="2" name="PivotTable5"/>
    <pivotTable tabId="2" name="PivotTable13"/>
    <pivotTable tabId="2" name="PivotTable12"/>
    <pivotTable tabId="2" name="PivotTable10"/>
    <pivotTable tabId="2" name="PivotTable1"/>
    <pivotTable tabId="2" name="PivotTable15"/>
  </pivotTables>
  <data>
    <tabular pivotCacheId="1">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everage Brand" cache="Slicer_Beverage_Brand1" caption="Beverage Brand"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State 1" cache="Slicer_Region__State" caption="Region--State" rowHeight="241300"/>
  <slicer name="Retailer 1" cache="Slicer_Retailer" caption="Retailer" startItem="2" rowHeight="241300"/>
  <slicer name="Beverage Brand 2" cache="Slicer_Beverage_Brand1" caption="Beverage Brand" startItem="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7"/>
  <sheetViews>
    <sheetView workbookViewId="0">
      <selection activeCell="J17" sqref="J17"/>
    </sheetView>
  </sheetViews>
  <sheetFormatPr defaultRowHeight="15" x14ac:dyDescent="0.25"/>
  <cols>
    <col min="1" max="1" width="16.7109375" customWidth="1"/>
    <col min="2" max="2" width="16.28515625" customWidth="1"/>
    <col min="3" max="3" width="7" customWidth="1"/>
    <col min="4" max="4" width="10.5703125" customWidth="1"/>
    <col min="5" max="5" width="8.7109375" customWidth="1"/>
    <col min="6" max="6" width="11.28515625" customWidth="1"/>
    <col min="7" max="7" width="7" customWidth="1"/>
    <col min="8" max="8" width="11.28515625" bestFit="1" customWidth="1"/>
    <col min="9" max="9" width="34.5703125" customWidth="1"/>
    <col min="10" max="10" width="30.85546875" bestFit="1" customWidth="1"/>
    <col min="11" max="11" width="13.140625" bestFit="1" customWidth="1"/>
    <col min="12" max="13" width="15.5703125" customWidth="1"/>
    <col min="14" max="14" width="15.5703125" bestFit="1" customWidth="1"/>
    <col min="15" max="24" width="5" bestFit="1" customWidth="1"/>
    <col min="25" max="35" width="6" bestFit="1" customWidth="1"/>
    <col min="36" max="36" width="11.28515625" bestFit="1" customWidth="1"/>
  </cols>
  <sheetData>
    <row r="1" spans="1:12" s="4" customFormat="1" ht="18.75" x14ac:dyDescent="0.3">
      <c r="B1" s="6" t="s">
        <v>28</v>
      </c>
    </row>
    <row r="2" spans="1:12" s="4" customFormat="1" x14ac:dyDescent="0.25"/>
    <row r="3" spans="1:12" x14ac:dyDescent="0.25">
      <c r="A3" s="14" t="s">
        <v>9</v>
      </c>
      <c r="B3" s="15"/>
      <c r="C3" s="15"/>
      <c r="D3" s="15"/>
      <c r="F3" s="8" t="s">
        <v>47</v>
      </c>
      <c r="K3" s="1" t="s">
        <v>0</v>
      </c>
      <c r="L3" t="s">
        <v>8</v>
      </c>
    </row>
    <row r="4" spans="1:12" x14ac:dyDescent="0.25">
      <c r="A4" s="1" t="s">
        <v>0</v>
      </c>
      <c r="B4" s="11" t="s">
        <v>2</v>
      </c>
      <c r="C4" s="11" t="s">
        <v>7</v>
      </c>
      <c r="D4" s="11" t="s">
        <v>8</v>
      </c>
      <c r="F4" s="10">
        <f>GETPIVOTDATA("Sum of Revenue",$A$4)</f>
        <v>1213017.5</v>
      </c>
      <c r="K4" s="2" t="s">
        <v>3</v>
      </c>
      <c r="L4" s="9">
        <v>331750</v>
      </c>
    </row>
    <row r="5" spans="1:12" x14ac:dyDescent="0.25">
      <c r="A5" s="2" t="s">
        <v>3</v>
      </c>
      <c r="B5" s="3">
        <v>43.849999999999987</v>
      </c>
      <c r="C5" s="3">
        <v>544750</v>
      </c>
      <c r="D5" s="9">
        <v>331750</v>
      </c>
      <c r="K5" s="2" t="s">
        <v>4</v>
      </c>
      <c r="L5" s="9">
        <v>238850</v>
      </c>
    </row>
    <row r="6" spans="1:12" x14ac:dyDescent="0.25">
      <c r="A6" s="2" t="s">
        <v>4</v>
      </c>
      <c r="B6" s="3">
        <v>30.399999999999991</v>
      </c>
      <c r="C6" s="3">
        <v>566000</v>
      </c>
      <c r="D6" s="9">
        <v>238850</v>
      </c>
      <c r="F6" s="8" t="s">
        <v>45</v>
      </c>
      <c r="G6" s="8"/>
      <c r="K6" s="2" t="s">
        <v>5</v>
      </c>
      <c r="L6" s="9">
        <v>250650</v>
      </c>
    </row>
    <row r="7" spans="1:12" x14ac:dyDescent="0.25">
      <c r="A7" s="2" t="s">
        <v>5</v>
      </c>
      <c r="B7" s="3">
        <v>36.649999999999991</v>
      </c>
      <c r="C7" s="3">
        <v>492500</v>
      </c>
      <c r="D7" s="9">
        <v>250650</v>
      </c>
      <c r="F7" s="8" t="str">
        <f>A8</f>
        <v>Walmart</v>
      </c>
      <c r="G7" s="8"/>
      <c r="K7" s="2" t="s">
        <v>6</v>
      </c>
      <c r="L7" s="9">
        <v>391767.5</v>
      </c>
    </row>
    <row r="8" spans="1:12" x14ac:dyDescent="0.25">
      <c r="A8" s="2" t="s">
        <v>6</v>
      </c>
      <c r="B8" s="3">
        <v>39.749999999999986</v>
      </c>
      <c r="C8" s="3">
        <v>706600</v>
      </c>
      <c r="D8" s="9">
        <v>391767.5</v>
      </c>
      <c r="K8" s="2" t="s">
        <v>1</v>
      </c>
      <c r="L8" s="9">
        <v>1213017.5</v>
      </c>
    </row>
    <row r="9" spans="1:12" x14ac:dyDescent="0.25">
      <c r="A9" s="2" t="s">
        <v>1</v>
      </c>
      <c r="B9" s="3">
        <v>150.64999999999995</v>
      </c>
      <c r="C9" s="3">
        <v>2309850</v>
      </c>
      <c r="D9" s="9">
        <v>1213017.5</v>
      </c>
    </row>
    <row r="11" spans="1:12" x14ac:dyDescent="0.25">
      <c r="A11" s="14"/>
      <c r="B11" s="15"/>
      <c r="C11" s="15"/>
      <c r="D11" s="15"/>
    </row>
    <row r="12" spans="1:12" x14ac:dyDescent="0.25">
      <c r="A12" s="1" t="s">
        <v>0</v>
      </c>
      <c r="B12" t="s">
        <v>7</v>
      </c>
      <c r="D12" s="8" t="s">
        <v>44</v>
      </c>
    </row>
    <row r="13" spans="1:12" x14ac:dyDescent="0.25">
      <c r="A13" s="2" t="s">
        <v>10</v>
      </c>
      <c r="B13" s="3">
        <v>461900</v>
      </c>
      <c r="D13" s="8">
        <f>GETPIVOTDATA("Units Sold",$A$12)</f>
        <v>2309850</v>
      </c>
    </row>
    <row r="14" spans="1:12" x14ac:dyDescent="0.25">
      <c r="A14" s="2" t="s">
        <v>11</v>
      </c>
      <c r="B14" s="3">
        <v>392750</v>
      </c>
    </row>
    <row r="15" spans="1:12" x14ac:dyDescent="0.25">
      <c r="A15" s="2" t="s">
        <v>12</v>
      </c>
      <c r="B15" s="3">
        <v>413750</v>
      </c>
      <c r="D15" s="8" t="s">
        <v>46</v>
      </c>
      <c r="E15" s="8"/>
    </row>
    <row r="16" spans="1:12" x14ac:dyDescent="0.25">
      <c r="A16" s="2" t="s">
        <v>13</v>
      </c>
      <c r="B16" s="3">
        <v>338000</v>
      </c>
      <c r="D16" s="8" t="str">
        <f>A13</f>
        <v>Coca-Cola</v>
      </c>
      <c r="E16" s="8"/>
    </row>
    <row r="17" spans="1:3" x14ac:dyDescent="0.25">
      <c r="A17" s="2" t="s">
        <v>14</v>
      </c>
      <c r="B17" s="3">
        <v>318750</v>
      </c>
    </row>
    <row r="18" spans="1:3" x14ac:dyDescent="0.25">
      <c r="A18" s="2" t="s">
        <v>15</v>
      </c>
      <c r="B18" s="3">
        <v>384700</v>
      </c>
    </row>
    <row r="19" spans="1:3" x14ac:dyDescent="0.25">
      <c r="A19" s="2" t="s">
        <v>1</v>
      </c>
      <c r="B19" s="3">
        <v>2309850</v>
      </c>
    </row>
    <row r="21" spans="1:3" x14ac:dyDescent="0.25">
      <c r="A21" s="14" t="s">
        <v>16</v>
      </c>
      <c r="B21" s="15"/>
      <c r="C21" s="15"/>
    </row>
    <row r="22" spans="1:3" x14ac:dyDescent="0.25">
      <c r="A22" s="1" t="s">
        <v>0</v>
      </c>
      <c r="B22" t="s">
        <v>17</v>
      </c>
    </row>
    <row r="23" spans="1:3" x14ac:dyDescent="0.25">
      <c r="A23" s="2" t="s">
        <v>10</v>
      </c>
      <c r="B23" s="3">
        <v>0.48437499999999994</v>
      </c>
    </row>
    <row r="24" spans="1:3" x14ac:dyDescent="0.25">
      <c r="A24" s="2" t="s">
        <v>11</v>
      </c>
      <c r="B24" s="3">
        <v>0.59479166666666627</v>
      </c>
    </row>
    <row r="25" spans="1:3" x14ac:dyDescent="0.25">
      <c r="A25" s="2" t="s">
        <v>12</v>
      </c>
      <c r="B25" s="3">
        <v>0.51770833333333333</v>
      </c>
    </row>
    <row r="26" spans="1:3" x14ac:dyDescent="0.25">
      <c r="A26" s="2" t="s">
        <v>13</v>
      </c>
      <c r="B26" s="3">
        <v>0.49062499999999987</v>
      </c>
    </row>
    <row r="27" spans="1:3" x14ac:dyDescent="0.25">
      <c r="A27" s="2" t="s">
        <v>14</v>
      </c>
      <c r="B27" s="3">
        <v>0.55937500000000018</v>
      </c>
    </row>
    <row r="28" spans="1:3" x14ac:dyDescent="0.25">
      <c r="A28" s="2" t="s">
        <v>15</v>
      </c>
      <c r="B28" s="3">
        <v>0.49166666666666653</v>
      </c>
    </row>
    <row r="29" spans="1:3" x14ac:dyDescent="0.25">
      <c r="A29" s="2" t="s">
        <v>1</v>
      </c>
      <c r="B29" s="3">
        <v>0.52309027777777806</v>
      </c>
    </row>
    <row r="31" spans="1:3" ht="18.75" x14ac:dyDescent="0.3">
      <c r="B31" s="6" t="s">
        <v>29</v>
      </c>
    </row>
    <row r="33" spans="1:6" x14ac:dyDescent="0.25">
      <c r="A33" s="13" t="s">
        <v>35</v>
      </c>
      <c r="B33" s="13"/>
      <c r="C33" s="13"/>
    </row>
    <row r="34" spans="1:6" x14ac:dyDescent="0.25">
      <c r="A34" s="1" t="s">
        <v>7</v>
      </c>
      <c r="B34" s="1" t="s">
        <v>18</v>
      </c>
    </row>
    <row r="35" spans="1:6" x14ac:dyDescent="0.25">
      <c r="A35" s="1" t="s">
        <v>0</v>
      </c>
      <c r="B35" t="s">
        <v>3</v>
      </c>
      <c r="C35" t="s">
        <v>4</v>
      </c>
      <c r="D35" t="s">
        <v>5</v>
      </c>
      <c r="E35" t="s">
        <v>6</v>
      </c>
      <c r="F35" t="s">
        <v>1</v>
      </c>
    </row>
    <row r="36" spans="1:6" x14ac:dyDescent="0.25">
      <c r="A36" s="5">
        <v>44563</v>
      </c>
      <c r="B36" s="3"/>
      <c r="C36" s="3">
        <v>44500</v>
      </c>
      <c r="D36" s="3"/>
      <c r="E36" s="3"/>
      <c r="F36" s="3">
        <v>44500</v>
      </c>
    </row>
    <row r="37" spans="1:6" x14ac:dyDescent="0.25">
      <c r="A37" s="5">
        <v>44575</v>
      </c>
      <c r="B37" s="3"/>
      <c r="C37" s="3"/>
      <c r="D37" s="3"/>
      <c r="E37" s="3">
        <v>59500</v>
      </c>
      <c r="F37" s="3">
        <v>59500</v>
      </c>
    </row>
    <row r="38" spans="1:6" x14ac:dyDescent="0.25">
      <c r="A38" s="5">
        <v>44576</v>
      </c>
      <c r="B38" s="3"/>
      <c r="C38" s="3"/>
      <c r="D38" s="3">
        <v>38500</v>
      </c>
      <c r="E38" s="3"/>
      <c r="F38" s="3">
        <v>38500</v>
      </c>
    </row>
    <row r="39" spans="1:6" x14ac:dyDescent="0.25">
      <c r="A39" s="5">
        <v>44581</v>
      </c>
      <c r="B39" s="3">
        <v>43000</v>
      </c>
      <c r="C39" s="3"/>
      <c r="D39" s="3"/>
      <c r="E39" s="3"/>
      <c r="F39" s="3">
        <v>43000</v>
      </c>
    </row>
    <row r="40" spans="1:6" x14ac:dyDescent="0.25">
      <c r="A40" s="5">
        <v>44593</v>
      </c>
      <c r="B40" s="3"/>
      <c r="C40" s="3">
        <v>42000</v>
      </c>
      <c r="D40" s="3"/>
      <c r="E40" s="3"/>
      <c r="F40" s="3">
        <v>42000</v>
      </c>
    </row>
    <row r="41" spans="1:6" x14ac:dyDescent="0.25">
      <c r="A41" s="5">
        <v>44604</v>
      </c>
      <c r="B41" s="3"/>
      <c r="C41" s="3"/>
      <c r="D41" s="3"/>
      <c r="E41" s="3">
        <v>58250</v>
      </c>
      <c r="F41" s="3">
        <v>58250</v>
      </c>
    </row>
    <row r="42" spans="1:6" x14ac:dyDescent="0.25">
      <c r="A42" s="5">
        <v>44607</v>
      </c>
      <c r="B42" s="3"/>
      <c r="C42" s="3"/>
      <c r="D42" s="3">
        <v>37000</v>
      </c>
      <c r="E42" s="3"/>
      <c r="F42" s="3">
        <v>37000</v>
      </c>
    </row>
    <row r="43" spans="1:6" x14ac:dyDescent="0.25">
      <c r="A43" s="5">
        <v>44612</v>
      </c>
      <c r="B43" s="3">
        <v>40500</v>
      </c>
      <c r="C43" s="3"/>
      <c r="D43" s="3"/>
      <c r="E43" s="3"/>
      <c r="F43" s="3">
        <v>40500</v>
      </c>
    </row>
    <row r="44" spans="1:6" x14ac:dyDescent="0.25">
      <c r="A44" s="5">
        <v>44623</v>
      </c>
      <c r="B44" s="3"/>
      <c r="C44" s="3">
        <v>42000</v>
      </c>
      <c r="D44" s="3"/>
      <c r="E44" s="3"/>
      <c r="F44" s="3">
        <v>42000</v>
      </c>
    </row>
    <row r="45" spans="1:6" x14ac:dyDescent="0.25">
      <c r="A45" s="5">
        <v>44630</v>
      </c>
      <c r="B45" s="3"/>
      <c r="C45" s="3"/>
      <c r="D45" s="3"/>
      <c r="E45" s="3">
        <v>56950</v>
      </c>
      <c r="F45" s="3">
        <v>56950</v>
      </c>
    </row>
    <row r="46" spans="1:6" x14ac:dyDescent="0.25">
      <c r="A46" s="5">
        <v>44634</v>
      </c>
      <c r="B46" s="3"/>
      <c r="C46" s="3"/>
      <c r="D46" s="3">
        <v>37000</v>
      </c>
      <c r="E46" s="3"/>
      <c r="F46" s="3">
        <v>37000</v>
      </c>
    </row>
    <row r="47" spans="1:6" x14ac:dyDescent="0.25">
      <c r="A47" s="5">
        <v>44639</v>
      </c>
      <c r="B47" s="3">
        <v>40500</v>
      </c>
      <c r="C47" s="3"/>
      <c r="D47" s="3"/>
      <c r="E47" s="3"/>
      <c r="F47" s="3">
        <v>40500</v>
      </c>
    </row>
    <row r="48" spans="1:6" x14ac:dyDescent="0.25">
      <c r="A48" s="5">
        <v>44653</v>
      </c>
      <c r="B48" s="3"/>
      <c r="C48" s="3">
        <v>44750</v>
      </c>
      <c r="D48" s="3"/>
      <c r="E48" s="3"/>
      <c r="F48" s="3">
        <v>44750</v>
      </c>
    </row>
    <row r="49" spans="1:6" x14ac:dyDescent="0.25">
      <c r="A49" s="5">
        <v>44662</v>
      </c>
      <c r="B49" s="3"/>
      <c r="C49" s="3"/>
      <c r="D49" s="3"/>
      <c r="E49" s="3">
        <v>56000</v>
      </c>
      <c r="F49" s="3">
        <v>56000</v>
      </c>
    </row>
    <row r="50" spans="1:6" x14ac:dyDescent="0.25">
      <c r="A50" s="5">
        <v>44666</v>
      </c>
      <c r="B50" s="3"/>
      <c r="C50" s="3"/>
      <c r="D50" s="3">
        <v>35750</v>
      </c>
      <c r="E50" s="3"/>
      <c r="F50" s="3">
        <v>35750</v>
      </c>
    </row>
    <row r="51" spans="1:6" x14ac:dyDescent="0.25">
      <c r="A51" s="5">
        <v>44671</v>
      </c>
      <c r="B51" s="3">
        <v>41250</v>
      </c>
      <c r="C51" s="3"/>
      <c r="D51" s="3"/>
      <c r="E51" s="3"/>
      <c r="F51" s="3">
        <v>41250</v>
      </c>
    </row>
    <row r="52" spans="1:6" x14ac:dyDescent="0.25">
      <c r="A52" s="5">
        <v>44683</v>
      </c>
      <c r="B52" s="3"/>
      <c r="C52" s="3">
        <v>48750</v>
      </c>
      <c r="D52" s="3"/>
      <c r="E52" s="3"/>
      <c r="F52" s="3">
        <v>48750</v>
      </c>
    </row>
    <row r="53" spans="1:6" x14ac:dyDescent="0.25">
      <c r="A53" s="5">
        <v>44691</v>
      </c>
      <c r="B53" s="3"/>
      <c r="C53" s="3"/>
      <c r="D53" s="3"/>
      <c r="E53" s="3">
        <v>57700</v>
      </c>
      <c r="F53" s="3">
        <v>57700</v>
      </c>
    </row>
    <row r="54" spans="1:6" x14ac:dyDescent="0.25">
      <c r="A54" s="5">
        <v>44697</v>
      </c>
      <c r="B54" s="3"/>
      <c r="C54" s="3"/>
      <c r="D54" s="3">
        <v>37250</v>
      </c>
      <c r="E54" s="3"/>
      <c r="F54" s="3">
        <v>37250</v>
      </c>
    </row>
    <row r="55" spans="1:6" x14ac:dyDescent="0.25">
      <c r="A55" s="5">
        <v>44702</v>
      </c>
      <c r="B55" s="3">
        <v>43250</v>
      </c>
      <c r="C55" s="3"/>
      <c r="D55" s="3"/>
      <c r="E55" s="3"/>
      <c r="F55" s="3">
        <v>43250</v>
      </c>
    </row>
    <row r="56" spans="1:6" x14ac:dyDescent="0.25">
      <c r="A56" s="5">
        <v>44713</v>
      </c>
      <c r="B56" s="3"/>
      <c r="C56" s="3">
        <v>51000</v>
      </c>
      <c r="D56" s="3"/>
      <c r="E56" s="3"/>
      <c r="F56" s="3">
        <v>51000</v>
      </c>
    </row>
    <row r="57" spans="1:6" x14ac:dyDescent="0.25">
      <c r="A57" s="5">
        <v>44724</v>
      </c>
      <c r="B57" s="3"/>
      <c r="C57" s="3"/>
      <c r="D57" s="3"/>
      <c r="E57" s="3">
        <v>60250</v>
      </c>
      <c r="F57" s="3">
        <v>60250</v>
      </c>
    </row>
    <row r="58" spans="1:6" x14ac:dyDescent="0.25">
      <c r="A58" s="5">
        <v>44727</v>
      </c>
      <c r="B58" s="3"/>
      <c r="C58" s="3"/>
      <c r="D58" s="3">
        <v>43250</v>
      </c>
      <c r="E58" s="3"/>
      <c r="F58" s="3">
        <v>43250</v>
      </c>
    </row>
    <row r="59" spans="1:6" x14ac:dyDescent="0.25">
      <c r="A59" s="5">
        <v>44732</v>
      </c>
      <c r="B59" s="3">
        <v>47750</v>
      </c>
      <c r="C59" s="3"/>
      <c r="D59" s="3"/>
      <c r="E59" s="3"/>
      <c r="F59" s="3">
        <v>47750</v>
      </c>
    </row>
    <row r="60" spans="1:6" x14ac:dyDescent="0.25">
      <c r="A60" s="5">
        <v>44745</v>
      </c>
      <c r="B60" s="3"/>
      <c r="C60" s="3">
        <v>53750</v>
      </c>
      <c r="D60" s="3"/>
      <c r="E60" s="3"/>
      <c r="F60" s="3">
        <v>53750</v>
      </c>
    </row>
    <row r="61" spans="1:6" x14ac:dyDescent="0.25">
      <c r="A61" s="5">
        <v>44752</v>
      </c>
      <c r="B61" s="3"/>
      <c r="C61" s="3"/>
      <c r="D61" s="3"/>
      <c r="E61" s="3">
        <v>61750</v>
      </c>
      <c r="F61" s="3">
        <v>61750</v>
      </c>
    </row>
    <row r="62" spans="1:6" x14ac:dyDescent="0.25">
      <c r="A62" s="5">
        <v>44756</v>
      </c>
      <c r="B62" s="3"/>
      <c r="C62" s="3"/>
      <c r="D62" s="3">
        <v>45500</v>
      </c>
      <c r="E62" s="3"/>
      <c r="F62" s="3">
        <v>45500</v>
      </c>
    </row>
    <row r="63" spans="1:6" x14ac:dyDescent="0.25">
      <c r="A63" s="5">
        <v>44761</v>
      </c>
      <c r="B63" s="3">
        <v>50000</v>
      </c>
      <c r="C63" s="3"/>
      <c r="D63" s="3"/>
      <c r="E63" s="3"/>
      <c r="F63" s="3">
        <v>50000</v>
      </c>
    </row>
    <row r="64" spans="1:6" x14ac:dyDescent="0.25">
      <c r="A64" s="5">
        <v>44778</v>
      </c>
      <c r="B64" s="3"/>
      <c r="C64" s="3">
        <v>51500</v>
      </c>
      <c r="D64" s="3"/>
      <c r="E64" s="3"/>
      <c r="F64" s="3">
        <v>51500</v>
      </c>
    </row>
    <row r="65" spans="1:6" x14ac:dyDescent="0.25">
      <c r="A65" s="5">
        <v>44784</v>
      </c>
      <c r="B65" s="3"/>
      <c r="C65" s="3"/>
      <c r="D65" s="3"/>
      <c r="E65" s="3">
        <v>61250</v>
      </c>
      <c r="F65" s="3">
        <v>61250</v>
      </c>
    </row>
    <row r="66" spans="1:6" x14ac:dyDescent="0.25">
      <c r="A66" s="5">
        <v>44788</v>
      </c>
      <c r="B66" s="3"/>
      <c r="C66" s="3"/>
      <c r="D66" s="3">
        <v>44750</v>
      </c>
      <c r="E66" s="3"/>
      <c r="F66" s="3">
        <v>44750</v>
      </c>
    </row>
    <row r="67" spans="1:6" x14ac:dyDescent="0.25">
      <c r="A67" s="5">
        <v>44793</v>
      </c>
      <c r="B67" s="3">
        <v>49250</v>
      </c>
      <c r="C67" s="3"/>
      <c r="D67" s="3"/>
      <c r="E67" s="3"/>
      <c r="F67" s="3">
        <v>49250</v>
      </c>
    </row>
    <row r="68" spans="1:6" x14ac:dyDescent="0.25">
      <c r="A68" s="5">
        <v>44806</v>
      </c>
      <c r="B68" s="3"/>
      <c r="C68" s="3">
        <v>47000</v>
      </c>
      <c r="D68" s="3"/>
      <c r="E68" s="3"/>
      <c r="F68" s="3">
        <v>47000</v>
      </c>
    </row>
    <row r="69" spans="1:6" x14ac:dyDescent="0.25">
      <c r="A69" s="5">
        <v>44814</v>
      </c>
      <c r="B69" s="3"/>
      <c r="C69" s="3"/>
      <c r="D69" s="3"/>
      <c r="E69" s="3">
        <v>59250</v>
      </c>
      <c r="F69" s="3">
        <v>59250</v>
      </c>
    </row>
    <row r="70" spans="1:6" x14ac:dyDescent="0.25">
      <c r="A70" s="5">
        <v>44820</v>
      </c>
      <c r="B70" s="3"/>
      <c r="C70" s="3"/>
      <c r="D70" s="3">
        <v>44000</v>
      </c>
      <c r="E70" s="3"/>
      <c r="F70" s="3">
        <v>44000</v>
      </c>
    </row>
    <row r="71" spans="1:6" x14ac:dyDescent="0.25">
      <c r="A71" s="5">
        <v>44825</v>
      </c>
      <c r="B71" s="3">
        <v>48500</v>
      </c>
      <c r="C71" s="3"/>
      <c r="D71" s="3"/>
      <c r="E71" s="3"/>
      <c r="F71" s="3">
        <v>48500</v>
      </c>
    </row>
    <row r="72" spans="1:6" x14ac:dyDescent="0.25">
      <c r="A72" s="5">
        <v>44835</v>
      </c>
      <c r="B72" s="3"/>
      <c r="C72" s="3">
        <v>42750</v>
      </c>
      <c r="D72" s="3"/>
      <c r="E72" s="3"/>
      <c r="F72" s="3">
        <v>42750</v>
      </c>
    </row>
    <row r="73" spans="1:6" x14ac:dyDescent="0.25">
      <c r="A73" s="5">
        <v>44846</v>
      </c>
      <c r="B73" s="3"/>
      <c r="C73" s="3"/>
      <c r="D73" s="3"/>
      <c r="E73" s="3">
        <v>58250</v>
      </c>
      <c r="F73" s="3">
        <v>58250</v>
      </c>
    </row>
    <row r="74" spans="1:6" x14ac:dyDescent="0.25">
      <c r="A74" s="5">
        <v>44849</v>
      </c>
      <c r="B74" s="3"/>
      <c r="C74" s="3"/>
      <c r="D74" s="3">
        <v>41250</v>
      </c>
      <c r="E74" s="3"/>
      <c r="F74" s="3">
        <v>41250</v>
      </c>
    </row>
    <row r="75" spans="1:6" x14ac:dyDescent="0.25">
      <c r="A75" s="5">
        <v>44854</v>
      </c>
      <c r="B75" s="3">
        <v>44750</v>
      </c>
      <c r="C75" s="3"/>
      <c r="D75" s="3"/>
      <c r="E75" s="3"/>
      <c r="F75" s="3">
        <v>44750</v>
      </c>
    </row>
    <row r="76" spans="1:6" x14ac:dyDescent="0.25">
      <c r="A76" s="5">
        <v>44867</v>
      </c>
      <c r="B76" s="3"/>
      <c r="C76" s="3">
        <v>48000</v>
      </c>
      <c r="D76" s="3"/>
      <c r="E76" s="3"/>
      <c r="F76" s="3">
        <v>48000</v>
      </c>
    </row>
    <row r="77" spans="1:6" x14ac:dyDescent="0.25">
      <c r="A77" s="5">
        <v>44876</v>
      </c>
      <c r="B77" s="3"/>
      <c r="C77" s="3"/>
      <c r="D77" s="3"/>
      <c r="E77" s="3">
        <v>57950</v>
      </c>
      <c r="F77" s="3">
        <v>57950</v>
      </c>
    </row>
    <row r="78" spans="1:6" x14ac:dyDescent="0.25">
      <c r="A78" s="5">
        <v>44880</v>
      </c>
      <c r="B78" s="3"/>
      <c r="C78" s="3"/>
      <c r="D78" s="3">
        <v>42750</v>
      </c>
      <c r="E78" s="3"/>
      <c r="F78" s="3">
        <v>42750</v>
      </c>
    </row>
    <row r="79" spans="1:6" x14ac:dyDescent="0.25">
      <c r="A79" s="5">
        <v>44885</v>
      </c>
      <c r="B79" s="3">
        <v>46000</v>
      </c>
      <c r="C79" s="3"/>
      <c r="D79" s="3"/>
      <c r="E79" s="3"/>
      <c r="F79" s="3">
        <v>46000</v>
      </c>
    </row>
    <row r="80" spans="1:6" x14ac:dyDescent="0.25">
      <c r="A80" s="5">
        <v>44896</v>
      </c>
      <c r="B80" s="3"/>
      <c r="C80" s="3">
        <v>50000</v>
      </c>
      <c r="D80" s="3"/>
      <c r="E80" s="3"/>
      <c r="F80" s="3">
        <v>50000</v>
      </c>
    </row>
    <row r="81" spans="1:6" x14ac:dyDescent="0.25">
      <c r="A81" s="5">
        <v>44905</v>
      </c>
      <c r="B81" s="3"/>
      <c r="C81" s="3"/>
      <c r="D81" s="3"/>
      <c r="E81" s="3">
        <v>59500</v>
      </c>
      <c r="F81" s="3">
        <v>59500</v>
      </c>
    </row>
    <row r="82" spans="1:6" x14ac:dyDescent="0.25">
      <c r="A82" s="5">
        <v>44909</v>
      </c>
      <c r="B82" s="3"/>
      <c r="C82" s="3"/>
      <c r="D82" s="3">
        <v>45500</v>
      </c>
      <c r="E82" s="3"/>
      <c r="F82" s="3">
        <v>45500</v>
      </c>
    </row>
    <row r="83" spans="1:6" x14ac:dyDescent="0.25">
      <c r="A83" s="5">
        <v>44914</v>
      </c>
      <c r="B83" s="3">
        <v>50000</v>
      </c>
      <c r="C83" s="3"/>
      <c r="D83" s="3"/>
      <c r="E83" s="3"/>
      <c r="F83" s="3">
        <v>50000</v>
      </c>
    </row>
    <row r="84" spans="1:6" x14ac:dyDescent="0.25">
      <c r="A84" s="2" t="s">
        <v>1</v>
      </c>
      <c r="B84" s="3">
        <v>544750</v>
      </c>
      <c r="C84" s="3">
        <v>566000</v>
      </c>
      <c r="D84" s="3">
        <v>492500</v>
      </c>
      <c r="E84" s="3">
        <v>706600</v>
      </c>
      <c r="F84" s="3">
        <v>2309850</v>
      </c>
    </row>
    <row r="87" spans="1:6" ht="18.75" x14ac:dyDescent="0.3">
      <c r="B87" s="6" t="s">
        <v>30</v>
      </c>
    </row>
    <row r="90" spans="1:6" x14ac:dyDescent="0.25">
      <c r="A90" s="13" t="s">
        <v>42</v>
      </c>
      <c r="B90" s="13"/>
      <c r="C90" s="13"/>
      <c r="D90" s="13"/>
      <c r="E90" s="13"/>
    </row>
    <row r="91" spans="1:6" x14ac:dyDescent="0.25">
      <c r="A91" s="1" t="s">
        <v>7</v>
      </c>
      <c r="B91" s="1" t="s">
        <v>18</v>
      </c>
    </row>
    <row r="92" spans="1:6" x14ac:dyDescent="0.25">
      <c r="A92" s="1" t="s">
        <v>0</v>
      </c>
      <c r="B92" s="11" t="s">
        <v>3</v>
      </c>
      <c r="C92" s="11" t="s">
        <v>4</v>
      </c>
      <c r="D92" s="11" t="s">
        <v>5</v>
      </c>
      <c r="E92" s="11" t="s">
        <v>6</v>
      </c>
      <c r="F92" s="11" t="s">
        <v>1</v>
      </c>
    </row>
    <row r="93" spans="1:6" x14ac:dyDescent="0.25">
      <c r="A93" s="2" t="s">
        <v>19</v>
      </c>
      <c r="B93" s="3"/>
      <c r="C93" s="3"/>
      <c r="D93" s="3"/>
      <c r="E93" s="3">
        <v>706600</v>
      </c>
      <c r="F93" s="3">
        <v>706600</v>
      </c>
    </row>
    <row r="94" spans="1:6" x14ac:dyDescent="0.25">
      <c r="A94" s="2" t="s">
        <v>20</v>
      </c>
      <c r="B94" s="3"/>
      <c r="C94" s="3">
        <v>566000</v>
      </c>
      <c r="D94" s="3"/>
      <c r="E94" s="3"/>
      <c r="F94" s="3">
        <v>566000</v>
      </c>
    </row>
    <row r="95" spans="1:6" x14ac:dyDescent="0.25">
      <c r="A95" s="2" t="s">
        <v>21</v>
      </c>
      <c r="B95" s="3">
        <v>544750</v>
      </c>
      <c r="C95" s="3"/>
      <c r="D95" s="3">
        <v>492500</v>
      </c>
      <c r="E95" s="3"/>
      <c r="F95" s="3">
        <v>1037250</v>
      </c>
    </row>
    <row r="96" spans="1:6" x14ac:dyDescent="0.25">
      <c r="A96" s="2" t="s">
        <v>1</v>
      </c>
      <c r="B96" s="3">
        <v>544750</v>
      </c>
      <c r="C96" s="3">
        <v>566000</v>
      </c>
      <c r="D96" s="3">
        <v>492500</v>
      </c>
      <c r="E96" s="3">
        <v>706600</v>
      </c>
      <c r="F96" s="3">
        <v>2309850</v>
      </c>
    </row>
    <row r="101" spans="1:8" x14ac:dyDescent="0.25">
      <c r="A101" s="13" t="s">
        <v>41</v>
      </c>
      <c r="B101" s="13"/>
      <c r="C101" s="13"/>
      <c r="D101" s="13"/>
    </row>
    <row r="102" spans="1:8" x14ac:dyDescent="0.25">
      <c r="A102" s="1" t="s">
        <v>7</v>
      </c>
      <c r="B102" s="1" t="s">
        <v>18</v>
      </c>
    </row>
    <row r="103" spans="1:8" x14ac:dyDescent="0.25">
      <c r="A103" s="1" t="s">
        <v>0</v>
      </c>
      <c r="B103" s="11" t="s">
        <v>10</v>
      </c>
      <c r="C103" s="11" t="s">
        <v>11</v>
      </c>
      <c r="D103" s="11" t="s">
        <v>12</v>
      </c>
      <c r="E103" s="11" t="s">
        <v>13</v>
      </c>
      <c r="F103" s="11" t="s">
        <v>14</v>
      </c>
      <c r="G103" s="11" t="s">
        <v>15</v>
      </c>
      <c r="H103" s="11" t="s">
        <v>1</v>
      </c>
    </row>
    <row r="104" spans="1:8" x14ac:dyDescent="0.25">
      <c r="A104" s="2" t="s">
        <v>19</v>
      </c>
      <c r="B104" s="3">
        <v>145900</v>
      </c>
      <c r="C104" s="3">
        <v>121000</v>
      </c>
      <c r="D104" s="3">
        <v>116750</v>
      </c>
      <c r="E104" s="3">
        <v>104500</v>
      </c>
      <c r="F104" s="3">
        <v>106250</v>
      </c>
      <c r="G104" s="3">
        <v>112200</v>
      </c>
      <c r="H104" s="3">
        <v>706600</v>
      </c>
    </row>
    <row r="105" spans="1:8" x14ac:dyDescent="0.25">
      <c r="A105" s="2" t="s">
        <v>20</v>
      </c>
      <c r="B105" s="3">
        <v>107750</v>
      </c>
      <c r="C105" s="3">
        <v>100250</v>
      </c>
      <c r="D105" s="3">
        <v>107750</v>
      </c>
      <c r="E105" s="3">
        <v>79500</v>
      </c>
      <c r="F105" s="3">
        <v>71750</v>
      </c>
      <c r="G105" s="3">
        <v>99000</v>
      </c>
      <c r="H105" s="3">
        <v>566000</v>
      </c>
    </row>
    <row r="106" spans="1:8" x14ac:dyDescent="0.25">
      <c r="A106" s="2" t="s">
        <v>21</v>
      </c>
      <c r="B106" s="3">
        <v>208250</v>
      </c>
      <c r="C106" s="3">
        <v>171500</v>
      </c>
      <c r="D106" s="3">
        <v>189250</v>
      </c>
      <c r="E106" s="3">
        <v>154000</v>
      </c>
      <c r="F106" s="3">
        <v>140750</v>
      </c>
      <c r="G106" s="3">
        <v>173500</v>
      </c>
      <c r="H106" s="3">
        <v>1037250</v>
      </c>
    </row>
    <row r="107" spans="1:8" x14ac:dyDescent="0.25">
      <c r="A107" s="2" t="s">
        <v>1</v>
      </c>
      <c r="B107" s="3">
        <v>461900</v>
      </c>
      <c r="C107" s="3">
        <v>392750</v>
      </c>
      <c r="D107" s="3">
        <v>413750</v>
      </c>
      <c r="E107" s="3">
        <v>338000</v>
      </c>
      <c r="F107" s="3">
        <v>318750</v>
      </c>
      <c r="G107" s="3">
        <v>384700</v>
      </c>
      <c r="H107" s="3">
        <v>2309850</v>
      </c>
    </row>
    <row r="110" spans="1:8" ht="18.75" x14ac:dyDescent="0.3">
      <c r="B110" s="6" t="s">
        <v>31</v>
      </c>
    </row>
    <row r="112" spans="1:8" x14ac:dyDescent="0.25">
      <c r="A112" s="13" t="s">
        <v>40</v>
      </c>
      <c r="B112" s="13"/>
      <c r="C112" s="13"/>
      <c r="D112" s="13"/>
    </row>
    <row r="113" spans="1:3" x14ac:dyDescent="0.25">
      <c r="A113" s="1" t="s">
        <v>0</v>
      </c>
      <c r="B113" t="s">
        <v>26</v>
      </c>
    </row>
    <row r="114" spans="1:3" x14ac:dyDescent="0.25">
      <c r="A114" s="2" t="s">
        <v>24</v>
      </c>
      <c r="B114" s="3">
        <v>72</v>
      </c>
    </row>
    <row r="115" spans="1:3" x14ac:dyDescent="0.25">
      <c r="A115" s="2" t="s">
        <v>23</v>
      </c>
      <c r="B115" s="3">
        <v>72</v>
      </c>
    </row>
    <row r="116" spans="1:3" x14ac:dyDescent="0.25">
      <c r="A116" s="2" t="s">
        <v>25</v>
      </c>
      <c r="B116" s="3">
        <v>72</v>
      </c>
    </row>
    <row r="117" spans="1:3" x14ac:dyDescent="0.25">
      <c r="A117" s="2" t="s">
        <v>22</v>
      </c>
      <c r="B117" s="3">
        <v>72</v>
      </c>
    </row>
    <row r="118" spans="1:3" x14ac:dyDescent="0.25">
      <c r="A118" s="2" t="s">
        <v>1</v>
      </c>
      <c r="B118" s="3">
        <v>288</v>
      </c>
    </row>
    <row r="123" spans="1:3" x14ac:dyDescent="0.25">
      <c r="A123" s="13" t="s">
        <v>36</v>
      </c>
      <c r="B123" s="13"/>
      <c r="C123" s="13"/>
    </row>
    <row r="124" spans="1:3" x14ac:dyDescent="0.25">
      <c r="A124" s="1" t="s">
        <v>0</v>
      </c>
      <c r="B124" t="s">
        <v>27</v>
      </c>
    </row>
    <row r="125" spans="1:3" x14ac:dyDescent="0.25">
      <c r="A125" s="2" t="s">
        <v>3</v>
      </c>
      <c r="B125" s="3">
        <v>72</v>
      </c>
    </row>
    <row r="126" spans="1:3" x14ac:dyDescent="0.25">
      <c r="A126" s="2" t="s">
        <v>4</v>
      </c>
      <c r="B126" s="3">
        <v>72</v>
      </c>
    </row>
    <row r="127" spans="1:3" x14ac:dyDescent="0.25">
      <c r="A127" s="2" t="s">
        <v>5</v>
      </c>
      <c r="B127" s="3">
        <v>72</v>
      </c>
    </row>
    <row r="128" spans="1:3" x14ac:dyDescent="0.25">
      <c r="A128" s="2" t="s">
        <v>6</v>
      </c>
      <c r="B128" s="3">
        <v>72</v>
      </c>
    </row>
    <row r="129" spans="1:3" x14ac:dyDescent="0.25">
      <c r="A129" s="2" t="s">
        <v>1</v>
      </c>
      <c r="B129" s="3">
        <v>288</v>
      </c>
    </row>
    <row r="133" spans="1:3" x14ac:dyDescent="0.25">
      <c r="A133" s="13" t="s">
        <v>37</v>
      </c>
      <c r="B133" s="13"/>
      <c r="C133" s="13"/>
    </row>
    <row r="134" spans="1:3" x14ac:dyDescent="0.25">
      <c r="A134" s="1" t="s">
        <v>0</v>
      </c>
      <c r="B134" t="s">
        <v>33</v>
      </c>
    </row>
    <row r="135" spans="1:3" x14ac:dyDescent="0.25">
      <c r="A135" s="2" t="s">
        <v>10</v>
      </c>
      <c r="B135" s="3">
        <v>0.65</v>
      </c>
    </row>
    <row r="136" spans="1:3" x14ac:dyDescent="0.25">
      <c r="A136" s="2" t="s">
        <v>11</v>
      </c>
      <c r="B136" s="3">
        <v>0.8</v>
      </c>
    </row>
    <row r="137" spans="1:3" x14ac:dyDescent="0.25">
      <c r="A137" s="2" t="s">
        <v>12</v>
      </c>
      <c r="B137" s="3">
        <v>0.70000000000000007</v>
      </c>
    </row>
    <row r="138" spans="1:3" x14ac:dyDescent="0.25">
      <c r="A138" s="2" t="s">
        <v>13</v>
      </c>
      <c r="B138" s="3">
        <v>0.65</v>
      </c>
    </row>
    <row r="139" spans="1:3" x14ac:dyDescent="0.25">
      <c r="A139" s="2" t="s">
        <v>14</v>
      </c>
      <c r="B139" s="3">
        <v>0.75</v>
      </c>
    </row>
    <row r="140" spans="1:3" x14ac:dyDescent="0.25">
      <c r="A140" s="2" t="s">
        <v>15</v>
      </c>
      <c r="B140" s="3">
        <v>0.65</v>
      </c>
    </row>
    <row r="141" spans="1:3" x14ac:dyDescent="0.25">
      <c r="A141" s="2" t="s">
        <v>1</v>
      </c>
      <c r="B141" s="3">
        <v>0.8</v>
      </c>
    </row>
    <row r="143" spans="1:3" x14ac:dyDescent="0.25">
      <c r="A143" s="1" t="s">
        <v>0</v>
      </c>
      <c r="B143" t="s">
        <v>32</v>
      </c>
    </row>
    <row r="144" spans="1:3" x14ac:dyDescent="0.25">
      <c r="A144" s="2" t="s">
        <v>10</v>
      </c>
      <c r="B144" s="3">
        <v>0.25</v>
      </c>
    </row>
    <row r="145" spans="1:2" x14ac:dyDescent="0.25">
      <c r="A145" s="2" t="s">
        <v>11</v>
      </c>
      <c r="B145" s="3">
        <v>0.35</v>
      </c>
    </row>
    <row r="146" spans="1:2" x14ac:dyDescent="0.25">
      <c r="A146" s="2" t="s">
        <v>12</v>
      </c>
      <c r="B146" s="3">
        <v>0.35</v>
      </c>
    </row>
    <row r="147" spans="1:2" x14ac:dyDescent="0.25">
      <c r="A147" s="2" t="s">
        <v>13</v>
      </c>
      <c r="B147" s="3">
        <v>0.35</v>
      </c>
    </row>
    <row r="148" spans="1:2" x14ac:dyDescent="0.25">
      <c r="A148" s="2" t="s">
        <v>14</v>
      </c>
      <c r="B148" s="3">
        <v>0.4</v>
      </c>
    </row>
    <row r="149" spans="1:2" x14ac:dyDescent="0.25">
      <c r="A149" s="2" t="s">
        <v>15</v>
      </c>
      <c r="B149" s="3">
        <v>0.35</v>
      </c>
    </row>
    <row r="150" spans="1:2" x14ac:dyDescent="0.25">
      <c r="A150" s="2" t="s">
        <v>1</v>
      </c>
      <c r="B150" s="3">
        <v>0.25</v>
      </c>
    </row>
    <row r="152" spans="1:2" x14ac:dyDescent="0.25">
      <c r="A152" s="1" t="s">
        <v>0</v>
      </c>
      <c r="B152" t="s">
        <v>17</v>
      </c>
    </row>
    <row r="153" spans="1:2" x14ac:dyDescent="0.25">
      <c r="A153" s="2" t="s">
        <v>10</v>
      </c>
      <c r="B153" s="3">
        <v>0.48437499999999994</v>
      </c>
    </row>
    <row r="154" spans="1:2" x14ac:dyDescent="0.25">
      <c r="A154" s="2" t="s">
        <v>11</v>
      </c>
      <c r="B154" s="3">
        <v>0.59479166666666627</v>
      </c>
    </row>
    <row r="155" spans="1:2" x14ac:dyDescent="0.25">
      <c r="A155" s="2" t="s">
        <v>12</v>
      </c>
      <c r="B155" s="3">
        <v>0.51770833333333333</v>
      </c>
    </row>
    <row r="156" spans="1:2" x14ac:dyDescent="0.25">
      <c r="A156" s="2" t="s">
        <v>13</v>
      </c>
      <c r="B156" s="3">
        <v>0.49062499999999987</v>
      </c>
    </row>
    <row r="157" spans="1:2" x14ac:dyDescent="0.25">
      <c r="A157" s="2" t="s">
        <v>14</v>
      </c>
      <c r="B157" s="3">
        <v>0.55937500000000018</v>
      </c>
    </row>
    <row r="158" spans="1:2" x14ac:dyDescent="0.25">
      <c r="A158" s="2" t="s">
        <v>15</v>
      </c>
      <c r="B158" s="3">
        <v>0.49166666666666653</v>
      </c>
    </row>
    <row r="159" spans="1:2" x14ac:dyDescent="0.25">
      <c r="A159" s="2" t="s">
        <v>1</v>
      </c>
      <c r="B159" s="3">
        <v>0.52309027777777806</v>
      </c>
    </row>
    <row r="162" spans="1:6" ht="18.75" x14ac:dyDescent="0.3">
      <c r="B162" t="s">
        <v>43</v>
      </c>
    </row>
    <row r="165" spans="1:6" x14ac:dyDescent="0.25">
      <c r="A165" s="13" t="s">
        <v>38</v>
      </c>
      <c r="B165" s="13"/>
      <c r="C165" s="13"/>
    </row>
    <row r="166" spans="1:6" x14ac:dyDescent="0.25">
      <c r="A166" s="1" t="s">
        <v>7</v>
      </c>
      <c r="B166" s="1" t="s">
        <v>18</v>
      </c>
    </row>
    <row r="167" spans="1:6" x14ac:dyDescent="0.25">
      <c r="A167" s="1" t="s">
        <v>0</v>
      </c>
      <c r="B167" s="11" t="s">
        <v>3</v>
      </c>
      <c r="C167" s="11" t="s">
        <v>4</v>
      </c>
      <c r="D167" s="11" t="s">
        <v>5</v>
      </c>
      <c r="E167" s="11" t="s">
        <v>6</v>
      </c>
      <c r="F167" s="11" t="s">
        <v>1</v>
      </c>
    </row>
    <row r="168" spans="1:6" x14ac:dyDescent="0.25">
      <c r="A168" s="2" t="s">
        <v>10</v>
      </c>
      <c r="B168" s="3">
        <v>108500</v>
      </c>
      <c r="C168" s="3">
        <v>107750</v>
      </c>
      <c r="D168" s="3">
        <v>99750</v>
      </c>
      <c r="E168" s="3">
        <v>145900</v>
      </c>
      <c r="F168" s="3">
        <v>461900</v>
      </c>
    </row>
    <row r="169" spans="1:6" x14ac:dyDescent="0.25">
      <c r="A169" s="2" t="s">
        <v>11</v>
      </c>
      <c r="B169" s="3">
        <v>90250</v>
      </c>
      <c r="C169" s="3">
        <v>100250</v>
      </c>
      <c r="D169" s="3">
        <v>81250</v>
      </c>
      <c r="E169" s="3">
        <v>121000</v>
      </c>
      <c r="F169" s="3">
        <v>392750</v>
      </c>
    </row>
    <row r="170" spans="1:6" x14ac:dyDescent="0.25">
      <c r="A170" s="2" t="s">
        <v>12</v>
      </c>
      <c r="B170" s="3">
        <v>99000</v>
      </c>
      <c r="C170" s="3">
        <v>107750</v>
      </c>
      <c r="D170" s="3">
        <v>90250</v>
      </c>
      <c r="E170" s="3">
        <v>116750</v>
      </c>
      <c r="F170" s="3">
        <v>413750</v>
      </c>
    </row>
    <row r="171" spans="1:6" x14ac:dyDescent="0.25">
      <c r="A171" s="2" t="s">
        <v>13</v>
      </c>
      <c r="B171" s="3">
        <v>81250</v>
      </c>
      <c r="C171" s="3">
        <v>79500</v>
      </c>
      <c r="D171" s="3">
        <v>72750</v>
      </c>
      <c r="E171" s="3">
        <v>104500</v>
      </c>
      <c r="F171" s="3">
        <v>338000</v>
      </c>
    </row>
    <row r="172" spans="1:6" x14ac:dyDescent="0.25">
      <c r="A172" s="2" t="s">
        <v>14</v>
      </c>
      <c r="B172" s="3">
        <v>74750</v>
      </c>
      <c r="C172" s="3">
        <v>71750</v>
      </c>
      <c r="D172" s="3">
        <v>66000</v>
      </c>
      <c r="E172" s="3">
        <v>106250</v>
      </c>
      <c r="F172" s="3">
        <v>318750</v>
      </c>
    </row>
    <row r="173" spans="1:6" x14ac:dyDescent="0.25">
      <c r="A173" s="2" t="s">
        <v>15</v>
      </c>
      <c r="B173" s="3">
        <v>91000</v>
      </c>
      <c r="C173" s="3">
        <v>99000</v>
      </c>
      <c r="D173" s="3">
        <v>82500</v>
      </c>
      <c r="E173" s="3">
        <v>112200</v>
      </c>
      <c r="F173" s="3">
        <v>384700</v>
      </c>
    </row>
    <row r="174" spans="1:6" x14ac:dyDescent="0.25">
      <c r="A174" s="2" t="s">
        <v>1</v>
      </c>
      <c r="B174" s="3">
        <v>544750</v>
      </c>
      <c r="C174" s="3">
        <v>566000</v>
      </c>
      <c r="D174" s="3">
        <v>492500</v>
      </c>
      <c r="E174" s="3">
        <v>706600</v>
      </c>
      <c r="F174" s="3">
        <v>2309850</v>
      </c>
    </row>
    <row r="177" spans="1:4" ht="18.75" x14ac:dyDescent="0.3">
      <c r="B177" s="6" t="s">
        <v>34</v>
      </c>
    </row>
    <row r="179" spans="1:4" x14ac:dyDescent="0.25">
      <c r="A179" s="12" t="s">
        <v>39</v>
      </c>
      <c r="B179" s="13"/>
      <c r="C179" s="13"/>
      <c r="D179" s="13"/>
    </row>
    <row r="180" spans="1:4" x14ac:dyDescent="0.25">
      <c r="A180" s="1" t="s">
        <v>0</v>
      </c>
      <c r="B180" t="s">
        <v>8</v>
      </c>
    </row>
    <row r="181" spans="1:4" x14ac:dyDescent="0.25">
      <c r="A181" s="2" t="s">
        <v>10</v>
      </c>
      <c r="B181" s="3">
        <v>228445</v>
      </c>
    </row>
    <row r="182" spans="1:4" x14ac:dyDescent="0.25">
      <c r="A182" s="2" t="s">
        <v>11</v>
      </c>
      <c r="B182" s="3">
        <v>233775</v>
      </c>
    </row>
    <row r="183" spans="1:4" x14ac:dyDescent="0.25">
      <c r="A183" s="2" t="s">
        <v>12</v>
      </c>
      <c r="B183" s="3">
        <v>214362.5</v>
      </c>
    </row>
    <row r="184" spans="1:4" x14ac:dyDescent="0.25">
      <c r="A184" s="2" t="s">
        <v>13</v>
      </c>
      <c r="B184" s="3">
        <v>166550</v>
      </c>
    </row>
    <row r="185" spans="1:4" x14ac:dyDescent="0.25">
      <c r="A185" s="2" t="s">
        <v>14</v>
      </c>
      <c r="B185" s="3">
        <v>181250</v>
      </c>
    </row>
    <row r="186" spans="1:4" x14ac:dyDescent="0.25">
      <c r="A186" s="2" t="s">
        <v>15</v>
      </c>
      <c r="B186" s="3">
        <v>188635</v>
      </c>
    </row>
    <row r="187" spans="1:4" x14ac:dyDescent="0.25">
      <c r="A187" s="2" t="s">
        <v>1</v>
      </c>
      <c r="B187" s="3">
        <v>1213017.5</v>
      </c>
    </row>
  </sheetData>
  <mergeCells count="11">
    <mergeCell ref="A179:D179"/>
    <mergeCell ref="A3:D3"/>
    <mergeCell ref="A11:D11"/>
    <mergeCell ref="A21:C21"/>
    <mergeCell ref="A33:C33"/>
    <mergeCell ref="A90:E90"/>
    <mergeCell ref="A101:D101"/>
    <mergeCell ref="A112:D112"/>
    <mergeCell ref="A123:C123"/>
    <mergeCell ref="A133:C133"/>
    <mergeCell ref="A165:C165"/>
  </mergeCells>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5"/>
  <sheetViews>
    <sheetView showGridLines="0" tabSelected="1" zoomScaleNormal="100" workbookViewId="0">
      <selection activeCell="J43" sqref="J43"/>
    </sheetView>
  </sheetViews>
  <sheetFormatPr defaultRowHeight="15" x14ac:dyDescent="0.25"/>
  <cols>
    <col min="9" max="9" width="14.28515625" bestFit="1" customWidth="1"/>
  </cols>
  <sheetData>
    <row r="5" spans="9:9" x14ac:dyDescent="0.25">
      <c r="I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183292-9B43-4E44-8EBE-E4224162E3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razin</dc:creator>
  <cp:lastModifiedBy>wn10</cp:lastModifiedBy>
  <dcterms:created xsi:type="dcterms:W3CDTF">2026-05-15T16:20:04Z</dcterms:created>
  <dcterms:modified xsi:type="dcterms:W3CDTF">2026-06-20T14:23:03Z</dcterms:modified>
</cp:coreProperties>
</file>